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-Tuan Nguyen\Desktop\"/>
    </mc:Choice>
  </mc:AlternateContent>
  <xr:revisionPtr revIDLastSave="0" documentId="13_ncr:1_{41D592C0-3EEF-4B62-8829-75F8AE68F8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tổng_1405" sheetId="2" r:id="rId1"/>
  </sheets>
  <definedNames>
    <definedName name="_xlnm._FilterDatabase" localSheetId="0" hidden="1">data_tổng_1405!$A$1:$L$116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6" i="2" l="1"/>
  <c r="C116" i="2"/>
  <c r="K115" i="2"/>
  <c r="C115" i="2"/>
  <c r="K114" i="2"/>
  <c r="C114" i="2"/>
  <c r="K113" i="2"/>
  <c r="C113" i="2"/>
  <c r="K112" i="2"/>
  <c r="C112" i="2"/>
  <c r="K111" i="2"/>
  <c r="C111" i="2"/>
  <c r="K110" i="2"/>
  <c r="C110" i="2"/>
  <c r="K109" i="2"/>
  <c r="C109" i="2"/>
  <c r="K108" i="2"/>
  <c r="C108" i="2"/>
  <c r="K107" i="2"/>
  <c r="C107" i="2"/>
  <c r="K106" i="2"/>
  <c r="C106" i="2"/>
  <c r="K105" i="2"/>
  <c r="C105" i="2"/>
  <c r="K104" i="2"/>
  <c r="C104" i="2"/>
  <c r="K103" i="2"/>
  <c r="C103" i="2"/>
  <c r="K102" i="2"/>
  <c r="C102" i="2"/>
  <c r="K101" i="2"/>
  <c r="C101" i="2"/>
  <c r="K100" i="2"/>
  <c r="C100" i="2"/>
  <c r="K99" i="2"/>
  <c r="C99" i="2"/>
  <c r="K98" i="2"/>
  <c r="C98" i="2"/>
  <c r="K97" i="2"/>
  <c r="C97" i="2"/>
  <c r="K96" i="2"/>
  <c r="C96" i="2"/>
  <c r="K95" i="2"/>
  <c r="C95" i="2"/>
  <c r="K94" i="2"/>
  <c r="C94" i="2"/>
  <c r="K93" i="2"/>
  <c r="C93" i="2"/>
  <c r="K92" i="2"/>
  <c r="C92" i="2"/>
  <c r="K91" i="2"/>
  <c r="C91" i="2"/>
  <c r="K90" i="2"/>
  <c r="C90" i="2"/>
  <c r="K89" i="2"/>
  <c r="C89" i="2"/>
  <c r="K88" i="2"/>
  <c r="C88" i="2"/>
  <c r="K87" i="2"/>
  <c r="C87" i="2"/>
  <c r="K86" i="2"/>
  <c r="C86" i="2"/>
  <c r="K85" i="2"/>
  <c r="C85" i="2"/>
  <c r="K84" i="2"/>
  <c r="C84" i="2"/>
  <c r="K83" i="2"/>
  <c r="C83" i="2"/>
  <c r="K82" i="2"/>
  <c r="C82" i="2"/>
  <c r="K81" i="2"/>
  <c r="C81" i="2"/>
  <c r="K80" i="2"/>
  <c r="C80" i="2"/>
  <c r="K79" i="2"/>
  <c r="C79" i="2"/>
  <c r="K78" i="2"/>
  <c r="C78" i="2"/>
  <c r="K77" i="2"/>
  <c r="C77" i="2"/>
  <c r="K76" i="2"/>
  <c r="C76" i="2"/>
  <c r="K75" i="2"/>
  <c r="C75" i="2"/>
  <c r="K74" i="2"/>
  <c r="C74" i="2"/>
  <c r="K73" i="2"/>
  <c r="C73" i="2"/>
  <c r="K72" i="2"/>
  <c r="C72" i="2"/>
  <c r="K71" i="2"/>
  <c r="C71" i="2"/>
  <c r="K70" i="2"/>
  <c r="C70" i="2"/>
  <c r="K69" i="2"/>
  <c r="C69" i="2"/>
  <c r="K68" i="2"/>
  <c r="C68" i="2"/>
  <c r="K67" i="2"/>
  <c r="C67" i="2"/>
  <c r="K66" i="2"/>
  <c r="C66" i="2"/>
  <c r="K65" i="2"/>
  <c r="C65" i="2"/>
  <c r="K64" i="2"/>
  <c r="C64" i="2"/>
  <c r="K63" i="2"/>
  <c r="C63" i="2"/>
  <c r="K62" i="2"/>
  <c r="C62" i="2"/>
  <c r="K61" i="2"/>
  <c r="C61" i="2"/>
  <c r="K60" i="2"/>
  <c r="C60" i="2"/>
  <c r="K59" i="2"/>
  <c r="C59" i="2"/>
  <c r="K58" i="2"/>
  <c r="C58" i="2"/>
  <c r="K57" i="2"/>
  <c r="C57" i="2"/>
  <c r="K56" i="2"/>
  <c r="C56" i="2"/>
  <c r="K55" i="2"/>
  <c r="C55" i="2"/>
  <c r="K54" i="2"/>
  <c r="C54" i="2"/>
  <c r="K53" i="2"/>
  <c r="C53" i="2"/>
  <c r="K52" i="2"/>
  <c r="C52" i="2"/>
  <c r="K51" i="2"/>
  <c r="C51" i="2"/>
  <c r="K50" i="2"/>
  <c r="C50" i="2"/>
  <c r="K49" i="2"/>
  <c r="C49" i="2"/>
  <c r="K48" i="2"/>
  <c r="C48" i="2"/>
  <c r="K47" i="2"/>
  <c r="C47" i="2"/>
  <c r="K46" i="2"/>
  <c r="C46" i="2"/>
  <c r="K45" i="2"/>
  <c r="C45" i="2"/>
  <c r="K44" i="2"/>
  <c r="C44" i="2"/>
  <c r="K43" i="2"/>
  <c r="C43" i="2"/>
  <c r="K42" i="2"/>
  <c r="C42" i="2"/>
  <c r="K41" i="2"/>
  <c r="C41" i="2"/>
  <c r="K40" i="2"/>
  <c r="C40" i="2"/>
  <c r="K39" i="2"/>
  <c r="C39" i="2"/>
  <c r="K38" i="2"/>
  <c r="C38" i="2"/>
  <c r="K37" i="2"/>
  <c r="C37" i="2"/>
  <c r="K36" i="2"/>
  <c r="C36" i="2"/>
  <c r="K35" i="2"/>
  <c r="C35" i="2"/>
  <c r="K34" i="2"/>
  <c r="C34" i="2"/>
  <c r="K33" i="2"/>
  <c r="C33" i="2"/>
  <c r="K32" i="2"/>
  <c r="C32" i="2"/>
  <c r="K31" i="2"/>
  <c r="C31" i="2"/>
  <c r="K30" i="2"/>
  <c r="C30" i="2"/>
  <c r="K29" i="2"/>
  <c r="C29" i="2"/>
  <c r="K28" i="2"/>
  <c r="C28" i="2"/>
  <c r="K27" i="2"/>
  <c r="C27" i="2"/>
  <c r="K26" i="2"/>
  <c r="C26" i="2"/>
  <c r="K25" i="2"/>
  <c r="C25" i="2"/>
  <c r="K24" i="2"/>
  <c r="C24" i="2"/>
  <c r="K23" i="2"/>
  <c r="C23" i="2"/>
  <c r="K22" i="2"/>
  <c r="C22" i="2"/>
  <c r="K21" i="2"/>
  <c r="C21" i="2"/>
  <c r="K20" i="2"/>
  <c r="C20" i="2"/>
  <c r="K19" i="2"/>
  <c r="C19" i="2"/>
  <c r="K18" i="2"/>
  <c r="C18" i="2"/>
  <c r="K17" i="2"/>
  <c r="C17" i="2"/>
  <c r="K16" i="2"/>
  <c r="C16" i="2"/>
  <c r="K15" i="2"/>
  <c r="C15" i="2"/>
  <c r="K14" i="2"/>
  <c r="C14" i="2"/>
  <c r="K13" i="2"/>
  <c r="C13" i="2"/>
  <c r="K12" i="2"/>
  <c r="C12" i="2"/>
  <c r="K11" i="2"/>
  <c r="C11" i="2"/>
  <c r="K10" i="2"/>
  <c r="C10" i="2"/>
  <c r="K9" i="2"/>
  <c r="C9" i="2"/>
  <c r="K8" i="2"/>
  <c r="C8" i="2"/>
  <c r="K7" i="2"/>
  <c r="C7" i="2"/>
  <c r="K6" i="2"/>
  <c r="C6" i="2"/>
  <c r="K5" i="2"/>
  <c r="C5" i="2"/>
  <c r="K4" i="2"/>
  <c r="C4" i="2"/>
  <c r="K3" i="2"/>
  <c r="C3" i="2"/>
  <c r="K2" i="2"/>
  <c r="C2" i="2"/>
</calcChain>
</file>

<file path=xl/sharedStrings.xml><?xml version="1.0" encoding="utf-8"?>
<sst xmlns="http://schemas.openxmlformats.org/spreadsheetml/2006/main" count="418" uniqueCount="304">
  <si>
    <t>Lat</t>
  </si>
  <si>
    <t>Long</t>
  </si>
  <si>
    <t>Tỉnh</t>
  </si>
  <si>
    <t>Số 192-194 Trần Phú, Phường Việt Trì, Tỉnh Phú Thọ</t>
  </si>
  <si>
    <t>Số 234 Đường Đông Phú, Khu Suối Gấm, Xã Cẩm Khê, Tỉnh Phú Thọ</t>
  </si>
  <si>
    <t>Khu Bắc Tiến 2, Xã Hùng Việt, Tỉnh Phú Thọ</t>
  </si>
  <si>
    <t>Khu Giáp Xuân, Xã Phú Khê, Tỉnh Phú Thọ</t>
  </si>
  <si>
    <t>Khu An Ninh, Xã Hùng Việt, Tỉnh Phú Thọ</t>
  </si>
  <si>
    <t>Khu 10, Xã Xuân Lũng, Tỉnh Phú Thọ</t>
  </si>
  <si>
    <t>Khu Nương Sơn, Xã Vân Bán, Tỉnh Phú Thọ</t>
  </si>
  <si>
    <t>Khu 11, Xã Tu Vũ, Tỉnh Phú Thọ</t>
  </si>
  <si>
    <t>Khu Trung Tiến 2, Xã Hùng Việt, Tỉnh Phú Thọ</t>
  </si>
  <si>
    <t>Khu 15, Thôn Dục Mỹ, Xã Bản Nguyên, Tỉnh Phú Thọ</t>
  </si>
  <si>
    <t>Số Nhà 439, Phố Tiên Dung, Khu Tiên Phú, Phường Tiên Cát, Thành phố Việt Trì, Tỉnh Phú Thọ</t>
  </si>
  <si>
    <t>Khu 21, Xã Vạn Xuân, Huyện Tam Nông, Tỉnh Phú Thọ</t>
  </si>
  <si>
    <t>Đội 3, Phường Nông Trang, Tỉnh Phú Thọ</t>
  </si>
  <si>
    <t>Xóm Đống Cả, Xã Xuân Đài, Tỉnh Phú Thọ</t>
  </si>
  <si>
    <t>Khu 2, Xã Xuân Lũng, Tỉnh Phú Thọ</t>
  </si>
  <si>
    <t>Khu 15, Xã Hanh Cù, Huyện Thanh Ba, Tỉnh Phú Thọ</t>
  </si>
  <si>
    <t>Khu 3, Xã Thanh Ba, Tỉnh Phú Thọ</t>
  </si>
  <si>
    <t>Khu 5, Xã Xuân Lộc, Huyện Thanh Thủy, Tỉnh Phú Thọ</t>
  </si>
  <si>
    <t>Khu 4, Xã Hoàng Cương, Tỉnh Phú Thọ</t>
  </si>
  <si>
    <t>Khu 6 Hương Xạ, Xã Yên Kỳ, Tỉnh Phú Thọ</t>
  </si>
  <si>
    <t>Khu 6 Đồng Xuân, Xã Thanh Ba, Tỉnh Phú Thọ</t>
  </si>
  <si>
    <t>Khu Phố, Xã Tây Cốc, Huyện Đoan Hùng, Tỉnh Phú Thọ, Việt Nam</t>
  </si>
  <si>
    <t>Khu 8, Xã Đông Thành, Tỉnh Phú Thọ</t>
  </si>
  <si>
    <t>Khu Phố, Thị trấn Thanh Thủy, Huyện Thanh Thủy, Tỉnh Phú Thọ</t>
  </si>
  <si>
    <t>Số 28 Phố Vàng, Thị trấn Thanh Sơn, Huyện Thanh Sơn, Tỉnh Phú Thọ</t>
  </si>
  <si>
    <t>Khu An Ninh Hạ, Phường Phú Thọ, Tỉnh Phú Thọ</t>
  </si>
  <si>
    <t>Khu Thanh Bình, Phường Âu Cơ, Tỉnh Phú Thọ</t>
  </si>
  <si>
    <t>Khu 14, Xã Đào Xá, Huyện Thanh Thủy, Tỉnh Phú Thọ</t>
  </si>
  <si>
    <t>Khu 3, Xã Thanh Thủy, Tỉnh Phú Thọ</t>
  </si>
  <si>
    <t>Thửa đất số 71-3, Tờ bản đồ số 33, Khu 3, Thị trấn Phong Châu, Huyện Phù Ninh, Tỉnh Phú Thọ</t>
  </si>
  <si>
    <t>Khu 4, Xã Đoan Hạ, Huyện Thanh Thủy, Tỉnh Phú Thọ</t>
  </si>
  <si>
    <t>Khu 4, Xã Phú Mỹ, Tỉnh Phú Thọ</t>
  </si>
  <si>
    <t>Khu 5, Xã Tứ Xã, Huyện Lâm Thao, Tỉnh Phú Thọ</t>
  </si>
  <si>
    <t>Số nhà 35, Phố Hà Chương, Khu Hàm Nghi, Phường Gia Cẩm, Thành phố Việt Trì, Tỉnh Phú Thọ</t>
  </si>
  <si>
    <t>Khu 6, Xã Hy Cương, Tỉnh Phú Thọ</t>
  </si>
  <si>
    <t>Khu Km5, Xã Hà Lộc, Thị xã Phú Thọ, Tỉnh Phú Thọ</t>
  </si>
  <si>
    <t>Băng 1, Đường Nguyễn Tất Thành, Phường Thanh Miếu, Thành phố Việt Trì, Tỉnh Phú Thọ</t>
  </si>
  <si>
    <t>Khu 1, Xã Bản Nguyên, Tỉnh Phú Thọ</t>
  </si>
  <si>
    <t>Khu Trung Phương, phường Minh Phương, Thành phố Việt Trì, Tỉnh Phú Thọ</t>
  </si>
  <si>
    <t>Khu Trung Tâm, Xã Lương Sơn, Huyện Yên Lập, Tỉnh Phú Thọ</t>
  </si>
  <si>
    <t>Khu Núi Trang, Thị trấn Phong Châu, Huyện Phù Ninh, Tỉnh Phú Thọ</t>
  </si>
  <si>
    <t>Khu Phượng Hùng 1, Xã Chí Đám, Tỉnh Phú Thọ</t>
  </si>
  <si>
    <t>Thôn Quyết Tiến, Xã Cự Đồng, Tỉnh Phú Thọ</t>
  </si>
  <si>
    <t>Khu Tân Hương, Xã Hương Cần, Huyện Thanh Sơn, Tỉnh Phú Thọ</t>
  </si>
  <si>
    <t>Xóm Dẹ 1, Xã Văn Miếu, Huyện Thanh Sơn, Tỉnh Phú Thọ</t>
  </si>
  <si>
    <t>Khu 2, Xã Chân Mộng, Huyện Đoan Hùng, Tỉnh Phú Thọ</t>
  </si>
  <si>
    <t>Khu 10, Xã Hạ Hòa, Tỉnh Phú Thọ</t>
  </si>
  <si>
    <t>Khu 10, Xã Phù Ninh, Tỉnh Phú Thọ</t>
  </si>
  <si>
    <t>Khu 2, Xã Trạm Thản, Huyện Phù Ninh, Tỉnh Phú Thọ</t>
  </si>
  <si>
    <t>Khu 13, Xã Minh Hòa, Tỉnh Phú Thọ</t>
  </si>
  <si>
    <t>Khu Đề Ngữ, Xã Yên Sơn, Tỉnh Phú Thọ</t>
  </si>
  <si>
    <t>Khu Đồng Ve, Xã Sơn Lương, Tỉnh Phú Thọ</t>
  </si>
  <si>
    <t>Khu 2A, Phường Nông Trang, Thành phố Việt Trì, Tỉnh Phú Thọ, Việt Nam</t>
  </si>
  <si>
    <t>Đường Đinh Tiên Hoàng, số 25 tổ 10 phố Tân An, Phường Hùng Vương, Thị xã Phú Thọ, Tỉnh Phú Thọ, Việt Nam</t>
  </si>
  <si>
    <t>Số 191 Phố Cao Du, Phường Âu Cơ, Thị xã Phú Thọ, Tỉnh Phú Thọ, Việt Nam</t>
  </si>
  <si>
    <t>Khu Minh Tân, Xã Minh Tân, Huyện Cẩm Khê, Tỉnh Phú Thọ, Việt Nam</t>
  </si>
  <si>
    <t>Số nhà 58 Đường Hồ Thiên Hương, Thị Trấn Hưng Hoá, Huyện Tam Nông, Tỉnh Phú Thọ, Việt Nam</t>
  </si>
  <si>
    <t>44 Đại Nải, Phường Nông Trang, Thành phố Việt Trì, Tỉnh Phú Thọ, Việt Nam</t>
  </si>
  <si>
    <t>Khu Tân An, Phường Tân Dân, Thành phố Việt Trì, Tỉnh Phú Thọ, Việt Nam</t>
  </si>
  <si>
    <t>Số 188 Đường Nam, Thị Trấn Phong Châu, Huyện Phù Ninh, Tỉnh Phú Thọ, Việt Nam</t>
  </si>
  <si>
    <t>75 Cao Bang, khu Cao Bang, Xã Thanh Minh, Thị xã Phú Thọ, Tỉnh Phú Thọ, Việt Nam</t>
  </si>
  <si>
    <t>Khu 23, Xã Vạn Xuân, Huyện Tam Nông, Tỉnh Phú Thọ, Việt Nam</t>
  </si>
  <si>
    <t>Khu 12, Xã Phú Hộ, Thị xã Phú Thọ, Tỉnh Phú Thọ, Việt Nam</t>
  </si>
  <si>
    <t>574 Tân Tiến, Thị Trấn Đoan Hùng, Huyện Đoan Hùng, Tỉnh Phú Thọ, Việt Nam</t>
  </si>
  <si>
    <t>12 Hàn Thuyên, Thị Trấn Thanh Ba, Huyện Thanh Ba, Tỉnh Phú Thọ, Việt Nam</t>
  </si>
  <si>
    <t>Đường Nguyễn Du kéo dài, Khu 5, Phường Nông Trang, Thành phố Việt Trì, Tỉnh Phú Thọ, Việt Nam</t>
  </si>
  <si>
    <t>Số 191B Phố Ba Mỏ, Thị Trấn Thanh Sơn, Huyện Thanh Sơn, Tỉnh Phú Thọ, Việt Nam</t>
  </si>
  <si>
    <t>167-169 Đường Nguyễn Trãi, Phường Minh Phương, Thành phố Việt Trì, Tỉnh Phú Thọ, Việt Nam</t>
  </si>
  <si>
    <t>số 3023 đường Hùng Vương, Khu 1, Phường Vân Cơ, Thành phố Việt Trì, Tỉnh Phú Thọ, Việt Nam</t>
  </si>
  <si>
    <t>số 44 Nguyễn Du, Phường Nông Trang, Thành phố Việt Trì, Tỉnh Phú Thọ, Việt Nam</t>
  </si>
  <si>
    <t>Khu 22, Xã Hoàng Xá, Huyện Thanh Thuỷ, Tỉnh Phú Thọ, Việt Nam</t>
  </si>
  <si>
    <t>Phố Thành Công, Phường Thọ Sơn, Thành phố Việt Trì, Tỉnh Phú Thọ, Việt Nam</t>
  </si>
  <si>
    <t>73 Quang trung, Phường Nông Trang, Thành phố Việt Trì, Tỉnh Phú Thọ, Việt Nam</t>
  </si>
  <si>
    <t>Khu Hùng Nhĩ, Thị Trấn Thanh Sơn, Huyện Thanh Sơn, Tỉnh Phú Thọ, Việt Nam</t>
  </si>
  <si>
    <t>Tổ 1, khu 1A, Phường Vân Phú, Thành phố Việt Trì, Tỉnh Phú Thọ, Việt Nam</t>
  </si>
  <si>
    <t>Khu Ngọc Chúc 3, Xã Chí Đám, Huyện Đoan Hùng, Tỉnh Phú Thọ, Việt Nam</t>
  </si>
  <si>
    <t>Khu 5, Xã Phú Lộc, Huyện Phù Ninh, Tỉnh Phú Thọ, Việt Nam</t>
  </si>
  <si>
    <t>Số 425-427 Lạc Long Quân, Khu 8, Thị Trấn Hạ Hoà, Huyện Hạ Hoà, Tỉnh Phú Thọ, Việt Nam</t>
  </si>
  <si>
    <t>Đường Hoa Khê, Thị trấn Cẩm Khê, Huyện Cẩm Khê, Tỉnh Phú Thọ, Việt Nam</t>
  </si>
  <si>
    <t>Khu Tân Thịnh, Phường Tân Dân, Thành phố Việt Trì, Tỉnh Phú Thọ, Việt Nam</t>
  </si>
  <si>
    <t>Số nhà 150, Khu Tân An 4, Thị Trấn Yên Lập, Huyện Yên Lập, Tỉnh Phú Thọ, Việt Nam</t>
  </si>
  <si>
    <t>Khu Tái định cư Đồng Gia, Phường Minh Nông, Thành phố Việt Trì, Tỉnh Phú Thọ, Việt Nam</t>
  </si>
  <si>
    <t>Số nhà 545, Đường Trần Phú, Phường Dữu Lâu, Thành phố Việt Trì, Tỉnh Phú Thọ, Việt Nam</t>
  </si>
  <si>
    <t>Số 402, Khu 12, Thị Trấn Lâm Thao, Huyện Lâm Thao, Tỉnh Phú Thọ, Việt Nam</t>
  </si>
  <si>
    <t>Số nhà 235-235B, Khu 06, Thị Trấn Hùng Sơn, Huyện Lâm Thao, Tỉnh Phú Thọ, Việt Nam</t>
  </si>
  <si>
    <t>Khu 1, Xã Bình Phú, Huyện Phù Ninh, Tỉnh Phú Thọ, Việt Nam</t>
  </si>
  <si>
    <t>Tổ 26A, Hai Bà Trưng, Phường Thọ Sơn, Thành phố Việt Trì, Tỉnh Phú Thọ, Việt Nam</t>
  </si>
  <si>
    <t>Khu 8, Phường Nông Trang, Thành phố Việt Trì, Tỉnh Phú Thọ, Việt Nam</t>
  </si>
  <si>
    <t>Khu 3, Phường Vân Phú, Thành phố Việt Trì, Tỉnh Phú Thọ, Việt Nam</t>
  </si>
  <si>
    <t>Khu 6B, Phường Nông Trang, Thành phố Việt Trì, Tỉnh Phú Thọ, Việt Nam</t>
  </si>
  <si>
    <t>Store</t>
  </si>
  <si>
    <t>Store name</t>
  </si>
  <si>
    <t>StoreID</t>
  </si>
  <si>
    <t>Address</t>
  </si>
  <si>
    <t>#Order</t>
  </si>
  <si>
    <t>Total weight (kg)</t>
  </si>
  <si>
    <t>Total CBM</t>
  </si>
  <si>
    <t>AVG</t>
  </si>
  <si>
    <t>Tỉnh_E</t>
  </si>
  <si>
    <t>Tỉnh Phú Thọ</t>
  </si>
  <si>
    <t>2BVB - WM+ PTO Khu 9, Tam Nông</t>
  </si>
  <si>
    <t>2BVB</t>
  </si>
  <si>
    <t>Khu 9, Xã Tam Nông, Tỉnh Phú Thọ</t>
  </si>
  <si>
    <t>2BZL - WM+ PTO Khu 4 Vụ Quang, Chân Mộng</t>
  </si>
  <si>
    <t>2BZL</t>
  </si>
  <si>
    <t>Khu 4 Vụ Quang, Xã Chân Mộng, Tỉnh Phú Thọ</t>
  </si>
  <si>
    <t>2BWO - WM+ PTO TĐ 24 Khu 8, Hạ Hòa</t>
  </si>
  <si>
    <t>2BWO</t>
  </si>
  <si>
    <t>Thửa Đất Số 24, Tờ Bản Đồ Số 13, Khu 8, Xã Hạ Hòa, Tỉnh Phú Thọ</t>
  </si>
  <si>
    <t>1649 - WM VC+ PTO Phú Thọ</t>
  </si>
  <si>
    <t>TTTM Vincom+ Phú Thọ, Phường Hùng Vương,Thị xã Phú Thọ,P. Hùng VươngTX. Phú Thọ,T. Phú Thọ</t>
  </si>
  <si>
    <t>1564 - WM VCP PTO Việt Trì</t>
  </si>
  <si>
    <t>Tầng 2 TTTM Vincom Plaza, Số 2 Đại,lộ Hùng Vương, P. Tiên Cát,TP. Việt Trì,P. Tiên CátTP. Việt Trì,T. Phú Thọ</t>
  </si>
  <si>
    <t>2BVZ - WM+ PTO Khu Cống 2, Cẩm Khê</t>
  </si>
  <si>
    <t>2BVZ</t>
  </si>
  <si>
    <t>Khu Cống 2, Xã Cẩm Khê, Tỉnh Phú Thọ</t>
  </si>
  <si>
    <t>2BXG - WM+ PTO Khu 9, Chí Tiên</t>
  </si>
  <si>
    <t>2BXG</t>
  </si>
  <si>
    <t>Khu 9, Xã Chí Tiên, Tỉnh Phú Thọ</t>
  </si>
  <si>
    <t>2BWV - WM+ PTO Khu 2, Tu Vũ</t>
  </si>
  <si>
    <t>2BWV</t>
  </si>
  <si>
    <t>Khu 2, Xã Tu Vũ, Tỉnh Phú Thọ</t>
  </si>
  <si>
    <t>2BQJ - WM+ PTO Khu 6 Đồng Xuân, Thanh Ba</t>
  </si>
  <si>
    <t>2BQJ</t>
  </si>
  <si>
    <t>2BTL - WM+ PTO Khu Tiền Phong</t>
  </si>
  <si>
    <t>2BTL</t>
  </si>
  <si>
    <t>Khu Tiền Phong, Xã Hùng Việt, Tỉnh Phú Thọ</t>
  </si>
  <si>
    <t>4106 - WM+ PTO Khu 8 Nông Trang</t>
  </si>
  <si>
    <t>2AY6 - WM+ PTO Khu Trung Phương, Việt Trì</t>
  </si>
  <si>
    <t>2AY6</t>
  </si>
  <si>
    <t>2BC5 - WM+ VPC Quế Trạo, Đồng Quế</t>
  </si>
  <si>
    <t>2BC5</t>
  </si>
  <si>
    <t>Thôn Quế Trạo B, Xã Tam Sơn, Tỉnh Phú Thọ</t>
  </si>
  <si>
    <t>2BEV - WM+ PTO Đội 3, Nông Trang</t>
  </si>
  <si>
    <t>2BEV</t>
  </si>
  <si>
    <t>3343 - WM+ PTO 3023 Đại Lộ Hùng Vương</t>
  </si>
  <si>
    <t>3643 - WM+ PTO Khu Tân An, Tân Dân</t>
  </si>
  <si>
    <t>6432 - WM+ PTO Vũ Duệ, Việt Trì</t>
  </si>
  <si>
    <t>Đường Vũ Duệ, Phường Nông Trang, Thành phố Việt Trì, Tỉnh Phú Thọ, Việt Nam</t>
  </si>
  <si>
    <t>2BDO - WM+ PTO Khu An Ninh, Hùng Việt</t>
  </si>
  <si>
    <t>2BDO</t>
  </si>
  <si>
    <t>3407 - WM+ PTO 1250 Hùng Vương</t>
  </si>
  <si>
    <t>1250 Hùng Vương, Phường Tiên Cát, Thành phố Việt Trì, Tỉnh Phú Thọ, Việt Nam</t>
  </si>
  <si>
    <t>3518 - WM+ PTO 73 Quang Trung</t>
  </si>
  <si>
    <t>2AJJ - WM+ PTO 439 Tiên Dung</t>
  </si>
  <si>
    <t>2AJJ</t>
  </si>
  <si>
    <t>2BFK - WM+ PTO 192-194 Trần Phú, Việt Trì</t>
  </si>
  <si>
    <t>2BFK</t>
  </si>
  <si>
    <t>3345 - WM+ PTO 44 Nguyễn Du</t>
  </si>
  <si>
    <t>3585 - WM+ PTO Khu 6B, Nông Trang</t>
  </si>
  <si>
    <t>3656 - WM+ PTO Khu Tân Thịnh, Tân Dân</t>
  </si>
  <si>
    <t>6052 - WM+ PTO Khu 5 Nông Trang</t>
  </si>
  <si>
    <t>2B73 - WM+ PTO Đồng Ve, Sơn Lương</t>
  </si>
  <si>
    <t>2B73</t>
  </si>
  <si>
    <t>3539 - WM+ PTO Tổ 1, khu 1A, Vân Phú</t>
  </si>
  <si>
    <t>6513 - WM+ PTO 12 Tổ 5 Trần Phú</t>
  </si>
  <si>
    <t>Số nhà 12, Tổ 5, Đường Trần Phú, Khu Tân Phú, Phường Tân Dân, Thành phố Việt Trì, Tỉnh Phú Thọ, Việt Nam</t>
  </si>
  <si>
    <t>2BAW - WM+ PTO Khu 4, Phú Mỹ</t>
  </si>
  <si>
    <t>2BAW</t>
  </si>
  <si>
    <t>2BSF - WM+ PTO 234 Đông Phú</t>
  </si>
  <si>
    <t>2BSF</t>
  </si>
  <si>
    <t>2BW1 - WM+ PTO Khu 13, Minh Hòa</t>
  </si>
  <si>
    <t>2BW1</t>
  </si>
  <si>
    <t>3627 - WM+ PTO Khu 2A, Nông Trang</t>
  </si>
  <si>
    <t>3685 - WM+ PTO 1343 Hùng Vương</t>
  </si>
  <si>
    <t>1343, Tổ 33, Đại Lộ Hùng Vương, Phường Tiên Cát, Thành phố Việt Trì, Tỉnh Phú Thọ, Việt Nam</t>
  </si>
  <si>
    <t>6434 - WM+ PTO 107 Bạch Hạc</t>
  </si>
  <si>
    <t>Số nhà 107 Phố Bạch Hạc, Phường Bạch Hạc, Thành phố Việt Trì, Tỉnh Phú Thọ, Việt Nam</t>
  </si>
  <si>
    <t>2AB9 - WM+ PTO 35 Hà Chương</t>
  </si>
  <si>
    <t>2AB9</t>
  </si>
  <si>
    <t>4093 - WM+ PTO Tổ 26A Hai Bà Trưng</t>
  </si>
  <si>
    <t>4141 - WM+ PTO Khu 3 Vân Phú</t>
  </si>
  <si>
    <t>2APX - WM+ PTO Khu Phố, TT Thanh Thủy</t>
  </si>
  <si>
    <t>2APX</t>
  </si>
  <si>
    <t>2BF1 - WM+ PTO Bắc Tiến 2, Hùng Việt</t>
  </si>
  <si>
    <t>2BF1</t>
  </si>
  <si>
    <t>2BGF - WM+ PTO Khu 10, Xuân Lũng</t>
  </si>
  <si>
    <t>2BGF</t>
  </si>
  <si>
    <t>4215 - WM+ PTO 44 Đại Nải</t>
  </si>
  <si>
    <t>2AKL - WM+ PTO Khu 2, Trạm Thản</t>
  </si>
  <si>
    <t>2AKL</t>
  </si>
  <si>
    <t>2B44 - WM+ PTO Khu 3, TT Phong Châu</t>
  </si>
  <si>
    <t>2B44</t>
  </si>
  <si>
    <t>2BW4 - WM+ PTO Thanh Bình, Âu Cơ</t>
  </si>
  <si>
    <t>2BW4</t>
  </si>
  <si>
    <t>2BW8 - WM+ PTO Khu 1, Bản Nguyên</t>
  </si>
  <si>
    <t>2BW8</t>
  </si>
  <si>
    <t>3993 - WM+ PTO 66 Hàn Thuyên</t>
  </si>
  <si>
    <t>66 Hàn Thuyên, tổ 1, phố Tân Bình, Phường Tân Dân, Thành phố Việt Trì, Tỉnh Phú Thọ, Việt Nam</t>
  </si>
  <si>
    <t>5847 - WM+ PTO 191 Cao Du</t>
  </si>
  <si>
    <t>6399 - WM+ PTO Khu 3 Hùng Lô, Việt Trì</t>
  </si>
  <si>
    <t>Khu 3, Xã Hùng Lô, Thành phố Việt Trì, Tỉnh Phú Thọ, Việt Nam</t>
  </si>
  <si>
    <t>2AU9 - WM+ PTO Băng 1, Nguyễn Tất Thành</t>
  </si>
  <si>
    <t>2AU9</t>
  </si>
  <si>
    <t>2BBN - WM+ PTO Giáp Xuân, Phú Khê</t>
  </si>
  <si>
    <t>2BBN</t>
  </si>
  <si>
    <t>2BBO - WM+ PTO Khu 2, Xuân Lũng</t>
  </si>
  <si>
    <t>2BBO</t>
  </si>
  <si>
    <t>2BDE - WM+ PTO Đề Ngữ, Yên Sơn</t>
  </si>
  <si>
    <t>2BDE</t>
  </si>
  <si>
    <t>2BO6 - WM+ PTO Khu 11, Tu Vũ</t>
  </si>
  <si>
    <t>2BO6</t>
  </si>
  <si>
    <t>2BU7 - WM+ PTO Quyết Tiến, Cự Đồng</t>
  </si>
  <si>
    <t>2BU7</t>
  </si>
  <si>
    <t>2BY6 - WM+ PTO Khu 3, Thanh Thủy</t>
  </si>
  <si>
    <t>2BY6</t>
  </si>
  <si>
    <t>3313 - WM+ PTO 62 Phan Châu Trinh</t>
  </si>
  <si>
    <t>Số 62, đường Phan Châu Trinh, Phường Gia Cẩm, Thành phố Việt Trì, Tỉnh Phú Thọ, Việt Nam</t>
  </si>
  <si>
    <t>6338 - WM+ PTO Cao Xá, Lâm Thao</t>
  </si>
  <si>
    <t>Khu Ao chợ Phong Vân, Xã Cao Xá, Huyện Lâm Thao, Tỉnh Phú Thọ, Việt Nam</t>
  </si>
  <si>
    <t>6540 - WM+ PTO Khu 12, TT Lâm Thao</t>
  </si>
  <si>
    <t>2ALC - WM+ PTO Tân Hương, Hương Cần</t>
  </si>
  <si>
    <t>2ALC</t>
  </si>
  <si>
    <t>2BHV - WM+ PTO Đống Cả, Xuân Đài</t>
  </si>
  <si>
    <t>2BHV</t>
  </si>
  <si>
    <t>2BZ0 - WM+ PTO An Ninh Hạ, Phú Thọ</t>
  </si>
  <si>
    <t>2BZ0</t>
  </si>
  <si>
    <t>3642 - WM+ PTO Băng 1, Quang Trung</t>
  </si>
  <si>
    <t>Băng 1, Đường Quang Trung, Phường Tân Dân, Thành phố Việt Trì, Tỉnh Phú Thọ, Việt Nam</t>
  </si>
  <si>
    <t>5944 - WM+ PTO 12 Hàn Thuyên</t>
  </si>
  <si>
    <t>6460 - WM+ PTO Đồng Gia, Việt Trì</t>
  </si>
  <si>
    <t>6529 - WM+ PTO 545 Trần Phú</t>
  </si>
  <si>
    <t>2AQB - WM+ PTO Khu Trung Tâm, Lương Sơn</t>
  </si>
  <si>
    <t>2AQB</t>
  </si>
  <si>
    <t>2BDF - WM+ PTO Trung Tiến 2, Hùng Việt</t>
  </si>
  <si>
    <t>2BDF</t>
  </si>
  <si>
    <t>2BS3 - WM+ PTO Khu 6, Hy Cương</t>
  </si>
  <si>
    <t>2BS3</t>
  </si>
  <si>
    <t>2BS5 - WM+ PTO Phượng Hùng 1, Chí Đám</t>
  </si>
  <si>
    <t>2BS5</t>
  </si>
  <si>
    <t>3464 - WM+ PTO Thành Công, Việt Trì</t>
  </si>
  <si>
    <t>6117 - WM+ PTO 167-169 Nguyễn Trãi</t>
  </si>
  <si>
    <t>2ALI - WM+ PTO Khu 1, Bảo Yên</t>
  </si>
  <si>
    <t>2ALI</t>
  </si>
  <si>
    <t>Khu 01, Xã Thanh Thủy, Tỉnh Phú Thọ</t>
  </si>
  <si>
    <t>2AMP - WM+ PTO 28 Phố Vàng</t>
  </si>
  <si>
    <t>2AMP</t>
  </si>
  <si>
    <t>2BX3 - WM+ PTO Khu 10, Hạ Hòa</t>
  </si>
  <si>
    <t>2BX3</t>
  </si>
  <si>
    <t>2BX4 - WM+ PTO Khu 10, Phù Ninh</t>
  </si>
  <si>
    <t>2BX4</t>
  </si>
  <si>
    <t>2BX9 - WM+ PTO Khu 15, Dục Mỹ</t>
  </si>
  <si>
    <t>2BX9</t>
  </si>
  <si>
    <t>5689 - WM+ PTO 188 Đường Nam, Phù Ninh</t>
  </si>
  <si>
    <t>5814 - WM+ PTO 25 tổ 10 Tân An</t>
  </si>
  <si>
    <t>5905 - WM+ PTO 26 Âu Cơ</t>
  </si>
  <si>
    <t>26 Âu Cơ, Khu Tân Sơn, Thị Trấn Lâm Thao, Huyện Lâm Thao, Tỉnh Phú Thọ, Việt Nam</t>
  </si>
  <si>
    <t>6045 - WM+ PTO 476 Châu Phong</t>
  </si>
  <si>
    <t>476 Châu Phong, Khu 22, Phường Gia Cẩm, Thành phố Việt Trì, Tỉnh Phú Thọ, Việt Nam</t>
  </si>
  <si>
    <t>6178 - WM+ PTO Khu 22 Hoàng Xá</t>
  </si>
  <si>
    <t>2AFF - WM+ PTO Khu 5, Xuân Lộc</t>
  </si>
  <si>
    <t>2AFF</t>
  </si>
  <si>
    <t>2AIU - WM+ PTO Khu 14, Đào Xá</t>
  </si>
  <si>
    <t>2AIU</t>
  </si>
  <si>
    <t>2AKG - WM+ PTO Khu 5, Tứ Xã</t>
  </si>
  <si>
    <t>2AKG</t>
  </si>
  <si>
    <t>2AKU - WM+ PTO Khu 4, Đoan Hạ</t>
  </si>
  <si>
    <t>2AKU</t>
  </si>
  <si>
    <t>2ALO - WM+ PTO Khu 2, Chân Mộng</t>
  </si>
  <si>
    <t>2ALO</t>
  </si>
  <si>
    <t>2ANV - WM+ PTO Khu Km5, Hà Lộc</t>
  </si>
  <si>
    <t>2ANV</t>
  </si>
  <si>
    <t>2ASC - WM+ PTO Xóm Dẹ 1, Văn Miếu</t>
  </si>
  <si>
    <t>2ASC</t>
  </si>
  <si>
    <t>2BPF - WM+ PTO Khu 3, Thanh Ba</t>
  </si>
  <si>
    <t>2BPF</t>
  </si>
  <si>
    <t>3435 - WM+ PTO 130 Lê Quý Đôn</t>
  </si>
  <si>
    <t>Số 130 Lê Quý Đôn, Phường Gia Cẩm, Thành phố Việt Trì, Tỉnh Phú Thọ, Việt Nam</t>
  </si>
  <si>
    <t>5891 - WM+ PTO Khu 23 Vạn Xuân</t>
  </si>
  <si>
    <t>5918 - WM+ PTO Khu 12 Phú Hộ</t>
  </si>
  <si>
    <t>6090 - WM+ PTO 191B Ba Mỏ</t>
  </si>
  <si>
    <t>6264 - WM+ PTO Khu Ngọc Chúc 3, Đoan Hùng</t>
  </si>
  <si>
    <t>6281 - WM+ PTO 425-427 Lạc Long Quân</t>
  </si>
  <si>
    <t>6291 - WM+ PTO Hoa Khê, Cẩm Khê</t>
  </si>
  <si>
    <t>6750 - WM+ PTO Bình Phú, Phù Ninh</t>
  </si>
  <si>
    <t>2ANB - WM+ PTO Khu 15, Yển Khê</t>
  </si>
  <si>
    <t>2ANB</t>
  </si>
  <si>
    <t>2BZ8 - WM+ PTO Khu 6 Hương Xạ, Yên Kỳ</t>
  </si>
  <si>
    <t>2BZ8</t>
  </si>
  <si>
    <t>6680 - WM+ PTO Minh Tân, Cẩm Khê</t>
  </si>
  <si>
    <t>2A66 - WM+ PTO Khu Phố, Đoan Hùng</t>
  </si>
  <si>
    <t>2A66</t>
  </si>
  <si>
    <t>2AD3 - WM+ PTO Núi Trang, Phù Ninh</t>
  </si>
  <si>
    <t>2AD3</t>
  </si>
  <si>
    <t>2ANC - WM+ PTO Khu 21, Vạn Xuân</t>
  </si>
  <si>
    <t>2ANC</t>
  </si>
  <si>
    <t>2BBH - WM+ PTO Khu 8, Đông Thành</t>
  </si>
  <si>
    <t>2BBH</t>
  </si>
  <si>
    <t>2BIB - WM+ PTO Nương Sơn, Vân Bán</t>
  </si>
  <si>
    <t>2BIB</t>
  </si>
  <si>
    <t>2BIZ - WM+ PTO Khu 4, Hoàng Cương</t>
  </si>
  <si>
    <t>2BIZ</t>
  </si>
  <si>
    <t>5846 - WM+ PTO 75 Cao Bang</t>
  </si>
  <si>
    <t>6871 - WM+ PTO 58 Hồ Thiên Hương</t>
  </si>
  <si>
    <t>5947 - WM+ PTO Khu 8 Thanh Ba</t>
  </si>
  <si>
    <t>Khu 8, Thị Trấn Thanh Ba, Huyện Thanh Ba, Tỉnh Phú Thọ, Việt Nam</t>
  </si>
  <si>
    <t>6364 - WM+ PTO Tân An 4, Yên Lập</t>
  </si>
  <si>
    <t>6562 - WM+ PTO 235-235B TT Hùng Sơn</t>
  </si>
  <si>
    <t>5943 - WM+ PTO 574 Tân Tiến</t>
  </si>
  <si>
    <t>6240 - WM+ PTO Hùng Nhĩ, Thanh Sơn</t>
  </si>
  <si>
    <t>6270 - WM+ PTO Phú Lộc, Phù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</si>
</sst>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FFFFFF"/>
      <name val="&quot;Aptos Narrow&quot;"/>
    </font>
    <font>
      <b/>
      <sz val="11"/>
      <color rgb="FFFFFFFF"/>
      <name val="Arial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</fills>
  <borders count="4">
    <border>
      <left/>
      <right/>
      <top/>
      <bottom/>
      <diagonal/>
    </border>
    <border>
      <left style="thin">
        <color rgb="FFE97132"/>
      </left>
      <right/>
      <top style="thin">
        <color rgb="FFE97132"/>
      </top>
      <bottom/>
      <diagonal/>
    </border>
    <border>
      <left/>
      <right/>
      <top style="thin">
        <color rgb="FFE97132"/>
      </top>
      <bottom/>
      <diagonal/>
    </border>
    <border>
      <left/>
      <right style="thin">
        <color rgb="FFE97132"/>
      </right>
      <top style="thin">
        <color rgb="FFE9713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2" fontId="3" fillId="0" borderId="0" xfId="0" applyNumberFormat="1" applyFont="1"/>
    <xf numFmtId="0" fontId="5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52"/>
  <sheetViews>
    <sheetView tabSelected="1" workbookViewId="0">
      <selection activeCell="A4" sqref="A4:A164"/>
    </sheetView>
  </sheetViews>
  <sheetFormatPr defaultColWidth="12.6328125" defaultRowHeight="15.75" customHeight="1"/>
  <cols>
    <col min="1" max="1" width="17.7265625" customWidth="1"/>
    <col min="2" max="2" width="44.6328125" customWidth="1"/>
    <col min="3" max="3" width="50.26953125" customWidth="1"/>
    <col min="4" max="4" width="15.90625" customWidth="1"/>
    <col min="5" max="5" width="100.6328125" customWidth="1"/>
    <col min="6" max="6" width="19.26953125" customWidth="1"/>
    <col min="7" max="7" width="18.453125" customWidth="1"/>
    <col min="8" max="8" width="16.6328125" customWidth="1"/>
  </cols>
  <sheetData>
    <row r="1" spans="1:12">
      <c r="A1" s="1" t="s">
        <v>2</v>
      </c>
      <c r="B1" s="2" t="s">
        <v>93</v>
      </c>
      <c r="C1" s="3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0</v>
      </c>
      <c r="J1" s="5" t="s">
        <v>1</v>
      </c>
      <c r="K1" s="6" t="s">
        <v>100</v>
      </c>
      <c r="L1" s="7" t="s">
        <v>101</v>
      </c>
    </row>
    <row r="2" spans="1:12">
      <c r="A2" s="8" t="s">
        <v>102</v>
      </c>
      <c r="B2" s="9" t="s">
        <v>103</v>
      </c>
      <c r="C2" s="9" t="str">
        <f t="shared" ref="C2:C116" si="0">RIGHT(B2,LEN(B2)-7)</f>
        <v>WM+ PTO Khu 9, Tam Nông</v>
      </c>
      <c r="D2" s="10" t="s">
        <v>104</v>
      </c>
      <c r="E2" s="9" t="s">
        <v>105</v>
      </c>
      <c r="F2" s="10">
        <v>11</v>
      </c>
      <c r="G2" s="10">
        <v>86627.74</v>
      </c>
      <c r="H2" s="10">
        <v>34.549999999999997</v>
      </c>
      <c r="I2" s="11">
        <v>21.234210000000001</v>
      </c>
      <c r="J2" s="12">
        <v>105.319</v>
      </c>
      <c r="K2" s="13">
        <f t="shared" ref="K2:K116" si="1">H2/F2</f>
        <v>3.1409090909090907</v>
      </c>
    </row>
    <row r="3" spans="1:12">
      <c r="A3" s="8" t="s">
        <v>102</v>
      </c>
      <c r="B3" s="9" t="s">
        <v>106</v>
      </c>
      <c r="C3" s="9" t="str">
        <f t="shared" si="0"/>
        <v>WM+ PTO Khu 4 Vụ Quang, Chân Mộng</v>
      </c>
      <c r="D3" s="10" t="s">
        <v>107</v>
      </c>
      <c r="E3" s="9" t="s">
        <v>108</v>
      </c>
      <c r="F3" s="10">
        <v>11</v>
      </c>
      <c r="G3" s="10">
        <v>84691.35</v>
      </c>
      <c r="H3" s="10">
        <v>31.92</v>
      </c>
      <c r="I3" s="11">
        <v>21.55818</v>
      </c>
      <c r="J3" s="12">
        <v>105.2702</v>
      </c>
      <c r="K3" s="13">
        <f t="shared" si="1"/>
        <v>2.9018181818181819</v>
      </c>
    </row>
    <row r="4" spans="1:12">
      <c r="A4" s="8" t="s">
        <v>102</v>
      </c>
      <c r="B4" s="9" t="s">
        <v>109</v>
      </c>
      <c r="C4" s="9" t="str">
        <f t="shared" si="0"/>
        <v>WM+ PTO TĐ 24 Khu 8, Hạ Hòa</v>
      </c>
      <c r="D4" s="10" t="s">
        <v>110</v>
      </c>
      <c r="E4" s="9" t="s">
        <v>111</v>
      </c>
      <c r="F4" s="10">
        <v>23</v>
      </c>
      <c r="G4" s="10">
        <v>87147.65</v>
      </c>
      <c r="H4" s="10">
        <v>33.22</v>
      </c>
      <c r="I4" s="11">
        <v>21.58822</v>
      </c>
      <c r="J4" s="12">
        <v>105.0472</v>
      </c>
      <c r="K4" s="13">
        <f t="shared" si="1"/>
        <v>1.4443478260869564</v>
      </c>
    </row>
    <row r="5" spans="1:12">
      <c r="A5" s="8" t="s">
        <v>102</v>
      </c>
      <c r="B5" s="9" t="s">
        <v>112</v>
      </c>
      <c r="C5" s="9" t="str">
        <f t="shared" si="0"/>
        <v>WM VC+ PTO Phú Thọ</v>
      </c>
      <c r="D5" s="10">
        <v>1649</v>
      </c>
      <c r="E5" s="9" t="s">
        <v>113</v>
      </c>
      <c r="F5" s="10">
        <v>29</v>
      </c>
      <c r="G5" s="10">
        <v>111393.52</v>
      </c>
      <c r="H5" s="10">
        <v>590.12</v>
      </c>
      <c r="I5" s="11">
        <v>21.402149999999999</v>
      </c>
      <c r="J5" s="12">
        <v>105.21420000000001</v>
      </c>
      <c r="K5" s="13">
        <f t="shared" si="1"/>
        <v>20.348965517241378</v>
      </c>
    </row>
    <row r="6" spans="1:12">
      <c r="A6" s="8" t="s">
        <v>102</v>
      </c>
      <c r="B6" s="9" t="s">
        <v>114</v>
      </c>
      <c r="C6" s="9" t="str">
        <f t="shared" si="0"/>
        <v>WM VCP PTO Việt Trì</v>
      </c>
      <c r="D6" s="10">
        <v>1564</v>
      </c>
      <c r="E6" s="9" t="s">
        <v>115</v>
      </c>
      <c r="F6" s="10">
        <v>30</v>
      </c>
      <c r="G6" s="10">
        <v>162371.85999999999</v>
      </c>
      <c r="H6" s="10">
        <v>512.98</v>
      </c>
      <c r="I6" s="11">
        <v>21.3124</v>
      </c>
      <c r="J6" s="12">
        <v>105.396</v>
      </c>
      <c r="K6" s="13">
        <f t="shared" si="1"/>
        <v>17.099333333333334</v>
      </c>
    </row>
    <row r="7" spans="1:12">
      <c r="A7" s="8" t="s">
        <v>102</v>
      </c>
      <c r="B7" s="9" t="s">
        <v>116</v>
      </c>
      <c r="C7" s="9" t="str">
        <f t="shared" si="0"/>
        <v>WM+ PTO Khu Cống 2, Cẩm Khê</v>
      </c>
      <c r="D7" s="10" t="s">
        <v>117</v>
      </c>
      <c r="E7" s="9" t="s">
        <v>118</v>
      </c>
      <c r="F7" s="10">
        <v>32</v>
      </c>
      <c r="G7" s="10">
        <v>157350.31</v>
      </c>
      <c r="H7" s="10">
        <v>44.91</v>
      </c>
      <c r="I7" s="11">
        <v>21.46003</v>
      </c>
      <c r="J7" s="12">
        <v>105.09050000000001</v>
      </c>
      <c r="K7" s="13">
        <f t="shared" si="1"/>
        <v>1.4034374999999999</v>
      </c>
    </row>
    <row r="8" spans="1:12">
      <c r="A8" s="8" t="s">
        <v>102</v>
      </c>
      <c r="B8" s="9" t="s">
        <v>119</v>
      </c>
      <c r="C8" s="9" t="str">
        <f t="shared" si="0"/>
        <v>WM+ PTO Khu 9, Chí Tiên</v>
      </c>
      <c r="D8" s="10" t="s">
        <v>120</v>
      </c>
      <c r="E8" s="9" t="s">
        <v>121</v>
      </c>
      <c r="F8" s="10">
        <v>39</v>
      </c>
      <c r="G8" s="10">
        <v>89535.59</v>
      </c>
      <c r="H8" s="10">
        <v>35.119999999999997</v>
      </c>
      <c r="I8" s="11">
        <v>21.43263</v>
      </c>
      <c r="J8" s="12">
        <v>105.15219999999999</v>
      </c>
      <c r="K8" s="13">
        <f t="shared" si="1"/>
        <v>0.90051282051282044</v>
      </c>
    </row>
    <row r="9" spans="1:12">
      <c r="A9" s="8" t="s">
        <v>102</v>
      </c>
      <c r="B9" s="9" t="s">
        <v>122</v>
      </c>
      <c r="C9" s="9" t="str">
        <f t="shared" si="0"/>
        <v>WM+ PTO Khu 2, Tu Vũ</v>
      </c>
      <c r="D9" s="10" t="s">
        <v>123</v>
      </c>
      <c r="E9" s="9" t="s">
        <v>124</v>
      </c>
      <c r="F9" s="10">
        <v>44</v>
      </c>
      <c r="G9" s="10">
        <v>235067.77</v>
      </c>
      <c r="H9" s="10">
        <v>143.4</v>
      </c>
      <c r="I9" s="11">
        <v>21.082799999999999</v>
      </c>
      <c r="J9" s="12">
        <v>105.30110000000001</v>
      </c>
      <c r="K9" s="13">
        <f t="shared" si="1"/>
        <v>3.2590909090909093</v>
      </c>
    </row>
    <row r="10" spans="1:12">
      <c r="A10" s="8" t="s">
        <v>102</v>
      </c>
      <c r="B10" s="9" t="s">
        <v>125</v>
      </c>
      <c r="C10" s="9" t="str">
        <f t="shared" si="0"/>
        <v>WM+ PTO Khu 6 Đồng Xuân, Thanh Ba</v>
      </c>
      <c r="D10" s="10" t="s">
        <v>126</v>
      </c>
      <c r="E10" s="9" t="s">
        <v>23</v>
      </c>
      <c r="F10" s="10">
        <v>47</v>
      </c>
      <c r="G10" s="10">
        <v>33585.32</v>
      </c>
      <c r="H10" s="10">
        <v>8.0500000000000007</v>
      </c>
      <c r="I10" s="11">
        <v>21.507760000000001</v>
      </c>
      <c r="J10" s="12">
        <v>105.1221</v>
      </c>
      <c r="K10" s="13">
        <f t="shared" si="1"/>
        <v>0.17127659574468088</v>
      </c>
    </row>
    <row r="11" spans="1:12">
      <c r="A11" s="8" t="s">
        <v>102</v>
      </c>
      <c r="B11" s="9" t="s">
        <v>127</v>
      </c>
      <c r="C11" s="9" t="str">
        <f t="shared" si="0"/>
        <v>WM+ PTO Khu Tiền Phong</v>
      </c>
      <c r="D11" s="10" t="s">
        <v>128</v>
      </c>
      <c r="E11" s="9" t="s">
        <v>129</v>
      </c>
      <c r="F11" s="10">
        <v>49</v>
      </c>
      <c r="G11" s="10">
        <v>80456.89</v>
      </c>
      <c r="H11" s="10">
        <v>8.86</v>
      </c>
      <c r="I11" s="11">
        <v>21.365559999999999</v>
      </c>
      <c r="J11" s="12">
        <v>105.1301</v>
      </c>
      <c r="K11" s="13">
        <f t="shared" si="1"/>
        <v>0.18081632653061222</v>
      </c>
    </row>
    <row r="12" spans="1:12">
      <c r="A12" s="8" t="s">
        <v>102</v>
      </c>
      <c r="B12" s="9" t="s">
        <v>130</v>
      </c>
      <c r="C12" s="9" t="str">
        <f t="shared" si="0"/>
        <v>WM+ PTO Khu 8 Nông Trang</v>
      </c>
      <c r="D12" s="10">
        <v>4106</v>
      </c>
      <c r="E12" s="9" t="s">
        <v>90</v>
      </c>
      <c r="F12" s="10">
        <v>55</v>
      </c>
      <c r="G12" s="10">
        <v>9480.93</v>
      </c>
      <c r="H12" s="10">
        <v>7.84</v>
      </c>
      <c r="I12" s="11">
        <v>21.324200000000001</v>
      </c>
      <c r="J12" s="12">
        <v>105.38200000000001</v>
      </c>
      <c r="K12" s="13">
        <f t="shared" si="1"/>
        <v>0.14254545454545453</v>
      </c>
    </row>
    <row r="13" spans="1:12">
      <c r="A13" s="8" t="s">
        <v>102</v>
      </c>
      <c r="B13" s="9" t="s">
        <v>131</v>
      </c>
      <c r="C13" s="9" t="str">
        <f t="shared" si="0"/>
        <v>WM+ PTO Khu Trung Phương, Việt Trì</v>
      </c>
      <c r="D13" s="10" t="s">
        <v>132</v>
      </c>
      <c r="E13" s="9" t="s">
        <v>41</v>
      </c>
      <c r="F13" s="10">
        <v>58</v>
      </c>
      <c r="G13" s="10">
        <v>11004.03</v>
      </c>
      <c r="H13" s="10">
        <v>8.4600000000000009</v>
      </c>
      <c r="I13" s="11">
        <v>21.321840000000002</v>
      </c>
      <c r="J13" s="12">
        <v>105.3732</v>
      </c>
      <c r="K13" s="13">
        <f t="shared" si="1"/>
        <v>0.14586206896551726</v>
      </c>
    </row>
    <row r="14" spans="1:12">
      <c r="A14" s="8" t="s">
        <v>102</v>
      </c>
      <c r="B14" s="14" t="s">
        <v>133</v>
      </c>
      <c r="C14" s="9" t="str">
        <f t="shared" si="0"/>
        <v>WM+ VPC Quế Trạo, Đồng Quế</v>
      </c>
      <c r="D14" s="10" t="s">
        <v>134</v>
      </c>
      <c r="E14" s="9" t="s">
        <v>135</v>
      </c>
      <c r="F14" s="10">
        <v>60</v>
      </c>
      <c r="G14" s="10">
        <v>19013.509999999998</v>
      </c>
      <c r="H14" s="10">
        <v>9.75</v>
      </c>
      <c r="I14" s="11">
        <v>21.439509999999999</v>
      </c>
      <c r="J14" s="12">
        <v>105.4109</v>
      </c>
      <c r="K14" s="13">
        <f t="shared" si="1"/>
        <v>0.16250000000000001</v>
      </c>
    </row>
    <row r="15" spans="1:12">
      <c r="A15" s="8" t="s">
        <v>102</v>
      </c>
      <c r="B15" s="9" t="s">
        <v>136</v>
      </c>
      <c r="C15" s="9" t="str">
        <f t="shared" si="0"/>
        <v>WM+ PTO Đội 3, Nông Trang</v>
      </c>
      <c r="D15" s="10" t="s">
        <v>137</v>
      </c>
      <c r="E15" s="9" t="s">
        <v>15</v>
      </c>
      <c r="F15" s="10">
        <v>60</v>
      </c>
      <c r="G15" s="10">
        <v>23319.39</v>
      </c>
      <c r="H15" s="10">
        <v>7.24</v>
      </c>
      <c r="I15" s="11">
        <v>21.32385</v>
      </c>
      <c r="J15" s="12">
        <v>105.34139999999999</v>
      </c>
      <c r="K15" s="13">
        <f t="shared" si="1"/>
        <v>0.12066666666666667</v>
      </c>
    </row>
    <row r="16" spans="1:12">
      <c r="A16" s="8" t="s">
        <v>102</v>
      </c>
      <c r="B16" s="9" t="s">
        <v>138</v>
      </c>
      <c r="C16" s="9" t="str">
        <f t="shared" si="0"/>
        <v>WM+ PTO 3023 Đại Lộ Hùng Vương</v>
      </c>
      <c r="D16" s="10">
        <v>3343</v>
      </c>
      <c r="E16" s="9" t="s">
        <v>71</v>
      </c>
      <c r="F16" s="10">
        <v>60</v>
      </c>
      <c r="G16" s="10">
        <v>24516.720000000001</v>
      </c>
      <c r="H16" s="10">
        <v>9.52</v>
      </c>
      <c r="I16" s="11">
        <v>21.34056</v>
      </c>
      <c r="J16" s="12">
        <v>105.36450000000001</v>
      </c>
      <c r="K16" s="13">
        <f t="shared" si="1"/>
        <v>0.15866666666666665</v>
      </c>
    </row>
    <row r="17" spans="1:11">
      <c r="A17" s="8" t="s">
        <v>102</v>
      </c>
      <c r="B17" s="9" t="s">
        <v>139</v>
      </c>
      <c r="C17" s="9" t="str">
        <f t="shared" si="0"/>
        <v>WM+ PTO Khu Tân An, Tân Dân</v>
      </c>
      <c r="D17" s="10">
        <v>3643</v>
      </c>
      <c r="E17" s="9" t="s">
        <v>61</v>
      </c>
      <c r="F17" s="10">
        <v>60</v>
      </c>
      <c r="G17" s="10">
        <v>33159.94</v>
      </c>
      <c r="H17" s="10">
        <v>9.35</v>
      </c>
      <c r="I17" s="11">
        <v>21.325559999999999</v>
      </c>
      <c r="J17" s="12">
        <v>105.39490000000001</v>
      </c>
      <c r="K17" s="13">
        <f t="shared" si="1"/>
        <v>0.15583333333333332</v>
      </c>
    </row>
    <row r="18" spans="1:11">
      <c r="A18" s="8" t="s">
        <v>102</v>
      </c>
      <c r="B18" s="9" t="s">
        <v>140</v>
      </c>
      <c r="C18" s="9" t="str">
        <f t="shared" si="0"/>
        <v>WM+ PTO Vũ Duệ, Việt Trì</v>
      </c>
      <c r="D18" s="10">
        <v>6432</v>
      </c>
      <c r="E18" s="9" t="s">
        <v>141</v>
      </c>
      <c r="F18" s="10">
        <v>60</v>
      </c>
      <c r="G18" s="10">
        <v>17062.97</v>
      </c>
      <c r="H18" s="10">
        <v>9.5</v>
      </c>
      <c r="I18" s="11">
        <v>21.33672</v>
      </c>
      <c r="J18" s="12">
        <v>105.37690000000001</v>
      </c>
      <c r="K18" s="13">
        <f t="shared" si="1"/>
        <v>0.15833333333333333</v>
      </c>
    </row>
    <row r="19" spans="1:11">
      <c r="A19" s="8" t="s">
        <v>102</v>
      </c>
      <c r="B19" s="9" t="s">
        <v>142</v>
      </c>
      <c r="C19" s="9" t="str">
        <f t="shared" si="0"/>
        <v>WM+ PTO Khu An Ninh, Hùng Việt</v>
      </c>
      <c r="D19" s="10" t="s">
        <v>143</v>
      </c>
      <c r="E19" s="9" t="s">
        <v>7</v>
      </c>
      <c r="F19" s="10">
        <v>61</v>
      </c>
      <c r="G19" s="10">
        <v>17759</v>
      </c>
      <c r="H19" s="10">
        <v>5.35</v>
      </c>
      <c r="I19" s="11">
        <v>21.34657</v>
      </c>
      <c r="J19" s="12">
        <v>105.13549999999999</v>
      </c>
      <c r="K19" s="13">
        <f t="shared" si="1"/>
        <v>8.7704918032786877E-2</v>
      </c>
    </row>
    <row r="20" spans="1:11">
      <c r="A20" s="8" t="s">
        <v>102</v>
      </c>
      <c r="B20" s="9" t="s">
        <v>144</v>
      </c>
      <c r="C20" s="9" t="str">
        <f t="shared" si="0"/>
        <v>WM+ PTO 1250 Hùng Vương</v>
      </c>
      <c r="D20" s="10">
        <v>3407</v>
      </c>
      <c r="E20" s="9" t="s">
        <v>145</v>
      </c>
      <c r="F20" s="10">
        <v>61</v>
      </c>
      <c r="G20" s="10">
        <v>39299.69</v>
      </c>
      <c r="H20" s="10">
        <v>7.8</v>
      </c>
      <c r="I20" s="11">
        <v>21.308389999999999</v>
      </c>
      <c r="J20" s="12">
        <v>105.4037</v>
      </c>
      <c r="K20" s="13">
        <f t="shared" si="1"/>
        <v>0.12786885245901639</v>
      </c>
    </row>
    <row r="21" spans="1:11">
      <c r="A21" s="8" t="s">
        <v>102</v>
      </c>
      <c r="B21" s="9" t="s">
        <v>146</v>
      </c>
      <c r="C21" s="9" t="str">
        <f t="shared" si="0"/>
        <v>WM+ PTO 73 Quang Trung</v>
      </c>
      <c r="D21" s="10">
        <v>3518</v>
      </c>
      <c r="E21" s="9" t="s">
        <v>75</v>
      </c>
      <c r="F21" s="10">
        <v>61</v>
      </c>
      <c r="G21" s="10">
        <v>21071.11</v>
      </c>
      <c r="H21" s="10">
        <v>14.56</v>
      </c>
      <c r="I21" s="11">
        <v>21.3263</v>
      </c>
      <c r="J21" s="12">
        <v>105.38500000000001</v>
      </c>
      <c r="K21" s="13">
        <f t="shared" si="1"/>
        <v>0.23868852459016393</v>
      </c>
    </row>
    <row r="22" spans="1:11">
      <c r="A22" s="8" t="s">
        <v>102</v>
      </c>
      <c r="B22" s="9" t="s">
        <v>147</v>
      </c>
      <c r="C22" s="9" t="str">
        <f t="shared" si="0"/>
        <v>WM+ PTO 439 Tiên Dung</v>
      </c>
      <c r="D22" s="10" t="s">
        <v>148</v>
      </c>
      <c r="E22" s="9" t="s">
        <v>13</v>
      </c>
      <c r="F22" s="10">
        <v>62</v>
      </c>
      <c r="G22" s="10">
        <v>22887.88</v>
      </c>
      <c r="H22" s="10">
        <v>6.33</v>
      </c>
      <c r="I22" s="11">
        <v>21.315010000000001</v>
      </c>
      <c r="J22" s="12">
        <v>105.398</v>
      </c>
      <c r="K22" s="13">
        <f t="shared" si="1"/>
        <v>0.10209677419354839</v>
      </c>
    </row>
    <row r="23" spans="1:11">
      <c r="A23" s="8" t="s">
        <v>102</v>
      </c>
      <c r="B23" s="9" t="s">
        <v>149</v>
      </c>
      <c r="C23" s="9" t="str">
        <f t="shared" si="0"/>
        <v>WM+ PTO 192-194 Trần Phú, Việt Trì</v>
      </c>
      <c r="D23" s="10" t="s">
        <v>150</v>
      </c>
      <c r="E23" s="9" t="s">
        <v>3</v>
      </c>
      <c r="F23" s="10">
        <v>62</v>
      </c>
      <c r="G23" s="10">
        <v>26759.55</v>
      </c>
      <c r="H23" s="10">
        <v>7.59</v>
      </c>
      <c r="I23" s="11">
        <v>21.330749999999998</v>
      </c>
      <c r="J23" s="12">
        <v>105.404</v>
      </c>
      <c r="K23" s="13">
        <f t="shared" si="1"/>
        <v>0.12241935483870968</v>
      </c>
    </row>
    <row r="24" spans="1:11">
      <c r="A24" s="8" t="s">
        <v>102</v>
      </c>
      <c r="B24" s="9" t="s">
        <v>151</v>
      </c>
      <c r="C24" s="9" t="str">
        <f t="shared" si="0"/>
        <v>WM+ PTO 44 Nguyễn Du</v>
      </c>
      <c r="D24" s="10">
        <v>3345</v>
      </c>
      <c r="E24" s="9" t="s">
        <v>72</v>
      </c>
      <c r="F24" s="10">
        <v>62</v>
      </c>
      <c r="G24" s="10">
        <v>54144.21</v>
      </c>
      <c r="H24" s="10">
        <v>20.81</v>
      </c>
      <c r="I24" s="11">
        <v>21.32931</v>
      </c>
      <c r="J24" s="12">
        <v>105.3809</v>
      </c>
      <c r="K24" s="13">
        <f t="shared" si="1"/>
        <v>0.33564516129032257</v>
      </c>
    </row>
    <row r="25" spans="1:11">
      <c r="A25" s="8" t="s">
        <v>102</v>
      </c>
      <c r="B25" s="9" t="s">
        <v>152</v>
      </c>
      <c r="C25" s="9" t="str">
        <f t="shared" si="0"/>
        <v>WM+ PTO Khu 6B, Nông Trang</v>
      </c>
      <c r="D25" s="10">
        <v>3585</v>
      </c>
      <c r="E25" s="9" t="s">
        <v>92</v>
      </c>
      <c r="F25" s="10">
        <v>62</v>
      </c>
      <c r="G25" s="10">
        <v>18016.830000000002</v>
      </c>
      <c r="H25" s="10">
        <v>12.49</v>
      </c>
      <c r="I25" s="11">
        <v>21.331199999999999</v>
      </c>
      <c r="J25" s="12">
        <v>105.379</v>
      </c>
      <c r="K25" s="13">
        <f t="shared" si="1"/>
        <v>0.2014516129032258</v>
      </c>
    </row>
    <row r="26" spans="1:11">
      <c r="A26" s="8" t="s">
        <v>102</v>
      </c>
      <c r="B26" s="9" t="s">
        <v>153</v>
      </c>
      <c r="C26" s="9" t="str">
        <f t="shared" si="0"/>
        <v>WM+ PTO Khu Tân Thịnh, Tân Dân</v>
      </c>
      <c r="D26" s="10">
        <v>3656</v>
      </c>
      <c r="E26" s="9" t="s">
        <v>82</v>
      </c>
      <c r="F26" s="10">
        <v>62</v>
      </c>
      <c r="G26" s="10">
        <v>41498.9</v>
      </c>
      <c r="H26" s="10">
        <v>12.06</v>
      </c>
      <c r="I26" s="11">
        <v>21.3276</v>
      </c>
      <c r="J26" s="12">
        <v>105.4</v>
      </c>
      <c r="K26" s="13">
        <f t="shared" si="1"/>
        <v>0.19451612903225807</v>
      </c>
    </row>
    <row r="27" spans="1:11">
      <c r="A27" s="8" t="s">
        <v>102</v>
      </c>
      <c r="B27" s="9" t="s">
        <v>154</v>
      </c>
      <c r="C27" s="9" t="str">
        <f t="shared" si="0"/>
        <v>WM+ PTO Khu 5 Nông Trang</v>
      </c>
      <c r="D27" s="10">
        <v>6052</v>
      </c>
      <c r="E27" s="9" t="s">
        <v>68</v>
      </c>
      <c r="F27" s="10">
        <v>62</v>
      </c>
      <c r="G27" s="10">
        <v>22090.75</v>
      </c>
      <c r="H27" s="10">
        <v>6.49</v>
      </c>
      <c r="I27" s="11">
        <v>21.333110000000001</v>
      </c>
      <c r="J27" s="12">
        <v>105.3857</v>
      </c>
      <c r="K27" s="13">
        <f t="shared" si="1"/>
        <v>0.10467741935483871</v>
      </c>
    </row>
    <row r="28" spans="1:11">
      <c r="A28" s="8" t="s">
        <v>102</v>
      </c>
      <c r="B28" s="9" t="s">
        <v>155</v>
      </c>
      <c r="C28" s="9" t="str">
        <f t="shared" si="0"/>
        <v>WM+ PTO Đồng Ve, Sơn Lương</v>
      </c>
      <c r="D28" s="10" t="s">
        <v>156</v>
      </c>
      <c r="E28" s="9" t="s">
        <v>54</v>
      </c>
      <c r="F28" s="10">
        <v>63</v>
      </c>
      <c r="G28" s="10">
        <v>23285.83</v>
      </c>
      <c r="H28" s="10">
        <v>7.78</v>
      </c>
      <c r="I28" s="11">
        <v>21.474740000000001</v>
      </c>
      <c r="J28" s="12">
        <v>104.94759999999999</v>
      </c>
      <c r="K28" s="13">
        <f t="shared" si="1"/>
        <v>0.1234920634920635</v>
      </c>
    </row>
    <row r="29" spans="1:11">
      <c r="A29" s="8" t="s">
        <v>102</v>
      </c>
      <c r="B29" s="9" t="s">
        <v>157</v>
      </c>
      <c r="C29" s="9" t="str">
        <f t="shared" si="0"/>
        <v>WM+ PTO Tổ 1, khu 1A, Vân Phú</v>
      </c>
      <c r="D29" s="10">
        <v>3539</v>
      </c>
      <c r="E29" s="9" t="s">
        <v>77</v>
      </c>
      <c r="F29" s="10">
        <v>63</v>
      </c>
      <c r="G29" s="10">
        <v>80713.37</v>
      </c>
      <c r="H29" s="10">
        <v>26.94</v>
      </c>
      <c r="I29" s="11">
        <v>21.367930000000001</v>
      </c>
      <c r="J29" s="12">
        <v>105.34399999999999</v>
      </c>
      <c r="K29" s="13">
        <f t="shared" si="1"/>
        <v>0.42761904761904762</v>
      </c>
    </row>
    <row r="30" spans="1:11">
      <c r="A30" s="8" t="s">
        <v>102</v>
      </c>
      <c r="B30" s="9" t="s">
        <v>158</v>
      </c>
      <c r="C30" s="9" t="str">
        <f t="shared" si="0"/>
        <v>WM+ PTO 12 Tổ 5 Trần Phú</v>
      </c>
      <c r="D30" s="10">
        <v>6513</v>
      </c>
      <c r="E30" s="9" t="s">
        <v>159</v>
      </c>
      <c r="F30" s="10">
        <v>63</v>
      </c>
      <c r="G30" s="10">
        <v>18162.05</v>
      </c>
      <c r="H30" s="10">
        <v>9.0299999999999994</v>
      </c>
      <c r="I30" s="11">
        <v>21.324839999999998</v>
      </c>
      <c r="J30" s="12">
        <v>105.4032</v>
      </c>
      <c r="K30" s="13">
        <f t="shared" si="1"/>
        <v>0.14333333333333331</v>
      </c>
    </row>
    <row r="31" spans="1:11">
      <c r="A31" s="8" t="s">
        <v>102</v>
      </c>
      <c r="B31" s="9" t="s">
        <v>160</v>
      </c>
      <c r="C31" s="9" t="str">
        <f t="shared" si="0"/>
        <v>WM+ PTO Khu 4, Phú Mỹ</v>
      </c>
      <c r="D31" s="10" t="s">
        <v>161</v>
      </c>
      <c r="E31" s="9" t="s">
        <v>34</v>
      </c>
      <c r="F31" s="10">
        <v>64</v>
      </c>
      <c r="G31" s="10">
        <v>43116.78</v>
      </c>
      <c r="H31" s="10">
        <v>8.1300000000000008</v>
      </c>
      <c r="I31" s="11">
        <v>21.50141</v>
      </c>
      <c r="J31" s="12">
        <v>105.258</v>
      </c>
      <c r="K31" s="13">
        <f t="shared" si="1"/>
        <v>0.12703125000000001</v>
      </c>
    </row>
    <row r="32" spans="1:11">
      <c r="A32" s="8" t="s">
        <v>102</v>
      </c>
      <c r="B32" s="9" t="s">
        <v>162</v>
      </c>
      <c r="C32" s="9" t="str">
        <f t="shared" si="0"/>
        <v>WM+ PTO 234 Đông Phú</v>
      </c>
      <c r="D32" s="10" t="s">
        <v>163</v>
      </c>
      <c r="E32" s="9" t="s">
        <v>4</v>
      </c>
      <c r="F32" s="10">
        <v>64</v>
      </c>
      <c r="G32" s="10">
        <v>53235.38</v>
      </c>
      <c r="H32" s="10">
        <v>9.93</v>
      </c>
      <c r="I32" s="11">
        <v>21.421559999999999</v>
      </c>
      <c r="J32" s="12">
        <v>105.1289</v>
      </c>
      <c r="K32" s="13">
        <f t="shared" si="1"/>
        <v>0.15515625</v>
      </c>
    </row>
    <row r="33" spans="1:11">
      <c r="A33" s="8" t="s">
        <v>102</v>
      </c>
      <c r="B33" s="9" t="s">
        <v>164</v>
      </c>
      <c r="C33" s="9" t="str">
        <f t="shared" si="0"/>
        <v>WM+ PTO Khu 13, Minh Hòa</v>
      </c>
      <c r="D33" s="10" t="s">
        <v>165</v>
      </c>
      <c r="E33" s="9" t="s">
        <v>52</v>
      </c>
      <c r="F33" s="10">
        <v>64</v>
      </c>
      <c r="G33" s="10">
        <v>16678.689999999999</v>
      </c>
      <c r="H33" s="10">
        <v>5.84</v>
      </c>
      <c r="I33" s="11">
        <v>21.248380000000001</v>
      </c>
      <c r="J33" s="12">
        <v>105.1121</v>
      </c>
      <c r="K33" s="13">
        <f t="shared" si="1"/>
        <v>9.1249999999999998E-2</v>
      </c>
    </row>
    <row r="34" spans="1:11">
      <c r="A34" s="8" t="s">
        <v>102</v>
      </c>
      <c r="B34" s="9" t="s">
        <v>166</v>
      </c>
      <c r="C34" s="9" t="str">
        <f t="shared" si="0"/>
        <v>WM+ PTO Khu 2A, Nông Trang</v>
      </c>
      <c r="D34" s="10">
        <v>3627</v>
      </c>
      <c r="E34" s="9" t="s">
        <v>55</v>
      </c>
      <c r="F34" s="10">
        <v>64</v>
      </c>
      <c r="G34" s="10">
        <v>10139.049999999999</v>
      </c>
      <c r="H34" s="10">
        <v>11.63</v>
      </c>
      <c r="I34" s="11">
        <v>21.3293</v>
      </c>
      <c r="J34" s="12">
        <v>105.378</v>
      </c>
      <c r="K34" s="13">
        <f t="shared" si="1"/>
        <v>0.18171875000000001</v>
      </c>
    </row>
    <row r="35" spans="1:11">
      <c r="A35" s="8" t="s">
        <v>102</v>
      </c>
      <c r="B35" s="9" t="s">
        <v>167</v>
      </c>
      <c r="C35" s="9" t="str">
        <f t="shared" si="0"/>
        <v>WM+ PTO 1343 Hùng Vương</v>
      </c>
      <c r="D35" s="10">
        <v>3685</v>
      </c>
      <c r="E35" s="9" t="s">
        <v>168</v>
      </c>
      <c r="F35" s="10">
        <v>64</v>
      </c>
      <c r="G35" s="10">
        <v>22544.1</v>
      </c>
      <c r="H35" s="10">
        <v>12.19</v>
      </c>
      <c r="I35" s="11">
        <v>21.3095</v>
      </c>
      <c r="J35" s="12">
        <v>105.40170000000001</v>
      </c>
      <c r="K35" s="13">
        <f t="shared" si="1"/>
        <v>0.19046874999999999</v>
      </c>
    </row>
    <row r="36" spans="1:11">
      <c r="A36" s="8" t="s">
        <v>102</v>
      </c>
      <c r="B36" s="9" t="s">
        <v>169</v>
      </c>
      <c r="C36" s="9" t="str">
        <f t="shared" si="0"/>
        <v>WM+ PTO 107 Bạch Hạc</v>
      </c>
      <c r="D36" s="10">
        <v>6434</v>
      </c>
      <c r="E36" s="9" t="s">
        <v>170</v>
      </c>
      <c r="F36" s="10">
        <v>64</v>
      </c>
      <c r="G36" s="10">
        <v>7553.02</v>
      </c>
      <c r="H36" s="10">
        <v>7.22</v>
      </c>
      <c r="I36" s="11">
        <v>21.296710000000001</v>
      </c>
      <c r="J36" s="12">
        <v>105.4396</v>
      </c>
      <c r="K36" s="13">
        <f t="shared" si="1"/>
        <v>0.1128125</v>
      </c>
    </row>
    <row r="37" spans="1:11">
      <c r="A37" s="8" t="s">
        <v>102</v>
      </c>
      <c r="B37" s="9" t="s">
        <v>171</v>
      </c>
      <c r="C37" s="9" t="str">
        <f t="shared" si="0"/>
        <v>WM+ PTO 35 Hà Chương</v>
      </c>
      <c r="D37" s="10" t="s">
        <v>172</v>
      </c>
      <c r="E37" s="9" t="s">
        <v>36</v>
      </c>
      <c r="F37" s="10">
        <v>65</v>
      </c>
      <c r="G37" s="10">
        <v>88468.85</v>
      </c>
      <c r="H37" s="10">
        <v>15.21</v>
      </c>
      <c r="I37" s="11">
        <v>21.315629999999999</v>
      </c>
      <c r="J37" s="12">
        <v>105.39490000000001</v>
      </c>
      <c r="K37" s="13">
        <f t="shared" si="1"/>
        <v>0.23400000000000001</v>
      </c>
    </row>
    <row r="38" spans="1:11">
      <c r="A38" s="8" t="s">
        <v>102</v>
      </c>
      <c r="B38" s="9" t="s">
        <v>173</v>
      </c>
      <c r="C38" s="9" t="str">
        <f t="shared" si="0"/>
        <v>WM+ PTO Tổ 26A Hai Bà Trưng</v>
      </c>
      <c r="D38" s="10">
        <v>4093</v>
      </c>
      <c r="E38" s="9" t="s">
        <v>89</v>
      </c>
      <c r="F38" s="10">
        <v>65</v>
      </c>
      <c r="G38" s="10">
        <v>28951.73</v>
      </c>
      <c r="H38" s="10">
        <v>8.11</v>
      </c>
      <c r="I38" s="11">
        <v>21.310189999999999</v>
      </c>
      <c r="J38" s="12">
        <v>105.4127</v>
      </c>
      <c r="K38" s="13">
        <f t="shared" si="1"/>
        <v>0.12476923076923076</v>
      </c>
    </row>
    <row r="39" spans="1:11">
      <c r="A39" s="8" t="s">
        <v>102</v>
      </c>
      <c r="B39" s="9" t="s">
        <v>174</v>
      </c>
      <c r="C39" s="9" t="str">
        <f t="shared" si="0"/>
        <v>WM+ PTO Khu 3 Vân Phú</v>
      </c>
      <c r="D39" s="10">
        <v>4141</v>
      </c>
      <c r="E39" s="9" t="s">
        <v>91</v>
      </c>
      <c r="F39" s="10">
        <v>65</v>
      </c>
      <c r="G39" s="10">
        <v>78865.25</v>
      </c>
      <c r="H39" s="10">
        <v>17.87</v>
      </c>
      <c r="I39" s="11">
        <v>21.343800000000002</v>
      </c>
      <c r="J39" s="12">
        <v>105.35599999999999</v>
      </c>
      <c r="K39" s="13">
        <f t="shared" si="1"/>
        <v>0.27492307692307694</v>
      </c>
    </row>
    <row r="40" spans="1:11">
      <c r="A40" s="8" t="s">
        <v>102</v>
      </c>
      <c r="B40" s="9" t="s">
        <v>175</v>
      </c>
      <c r="C40" s="9" t="str">
        <f t="shared" si="0"/>
        <v>WM+ PTO Khu Phố, TT Thanh Thủy</v>
      </c>
      <c r="D40" s="10" t="s">
        <v>176</v>
      </c>
      <c r="E40" s="9" t="s">
        <v>26</v>
      </c>
      <c r="F40" s="10">
        <v>66</v>
      </c>
      <c r="G40" s="10">
        <v>29922.35</v>
      </c>
      <c r="H40" s="10">
        <v>9.51</v>
      </c>
      <c r="I40" s="11">
        <v>21.17229</v>
      </c>
      <c r="J40" s="12">
        <v>105.28100000000001</v>
      </c>
      <c r="K40" s="13">
        <f t="shared" si="1"/>
        <v>0.14409090909090908</v>
      </c>
    </row>
    <row r="41" spans="1:11">
      <c r="A41" s="8" t="s">
        <v>102</v>
      </c>
      <c r="B41" s="9" t="s">
        <v>177</v>
      </c>
      <c r="C41" s="9" t="str">
        <f t="shared" si="0"/>
        <v>WM+ PTO Bắc Tiến 2, Hùng Việt</v>
      </c>
      <c r="D41" s="10" t="s">
        <v>178</v>
      </c>
      <c r="E41" s="9" t="s">
        <v>5</v>
      </c>
      <c r="F41" s="10">
        <v>66</v>
      </c>
      <c r="G41" s="10">
        <v>22033.89</v>
      </c>
      <c r="H41" s="10">
        <v>7.93</v>
      </c>
      <c r="I41" s="11">
        <v>21.39066</v>
      </c>
      <c r="J41" s="12">
        <v>105.1472</v>
      </c>
      <c r="K41" s="13">
        <f t="shared" si="1"/>
        <v>0.12015151515151515</v>
      </c>
    </row>
    <row r="42" spans="1:11">
      <c r="A42" s="8" t="s">
        <v>102</v>
      </c>
      <c r="B42" s="9" t="s">
        <v>179</v>
      </c>
      <c r="C42" s="9" t="str">
        <f t="shared" si="0"/>
        <v>WM+ PTO Khu 10, Xuân Lũng</v>
      </c>
      <c r="D42" s="10" t="s">
        <v>180</v>
      </c>
      <c r="E42" s="9" t="s">
        <v>8</v>
      </c>
      <c r="F42" s="10">
        <v>66</v>
      </c>
      <c r="G42" s="10">
        <v>18729.759999999998</v>
      </c>
      <c r="H42" s="10">
        <v>7.43</v>
      </c>
      <c r="I42" s="11">
        <v>21.389230000000001</v>
      </c>
      <c r="J42" s="12">
        <v>105.30029999999999</v>
      </c>
      <c r="K42" s="13">
        <f t="shared" si="1"/>
        <v>0.11257575757575757</v>
      </c>
    </row>
    <row r="43" spans="1:11">
      <c r="A43" s="8" t="s">
        <v>102</v>
      </c>
      <c r="B43" s="9" t="s">
        <v>181</v>
      </c>
      <c r="C43" s="9" t="str">
        <f t="shared" si="0"/>
        <v>WM+ PTO 44 Đại Nải</v>
      </c>
      <c r="D43" s="10">
        <v>4215</v>
      </c>
      <c r="E43" s="9" t="s">
        <v>60</v>
      </c>
      <c r="F43" s="10">
        <v>66</v>
      </c>
      <c r="G43" s="10">
        <v>46303.94</v>
      </c>
      <c r="H43" s="10">
        <v>10.75</v>
      </c>
      <c r="I43" s="11">
        <v>21.32836</v>
      </c>
      <c r="J43" s="12">
        <v>105.376</v>
      </c>
      <c r="K43" s="13">
        <f t="shared" si="1"/>
        <v>0.16287878787878787</v>
      </c>
    </row>
    <row r="44" spans="1:11">
      <c r="A44" s="8" t="s">
        <v>102</v>
      </c>
      <c r="B44" s="9" t="s">
        <v>182</v>
      </c>
      <c r="C44" s="9" t="str">
        <f t="shared" si="0"/>
        <v>WM+ PTO Khu 2, Trạm Thản</v>
      </c>
      <c r="D44" s="10" t="s">
        <v>183</v>
      </c>
      <c r="E44" s="9" t="s">
        <v>51</v>
      </c>
      <c r="F44" s="10">
        <v>67</v>
      </c>
      <c r="G44" s="10">
        <v>18678.59</v>
      </c>
      <c r="H44" s="10">
        <v>9.82</v>
      </c>
      <c r="I44" s="11">
        <v>21.491969999999998</v>
      </c>
      <c r="J44" s="12">
        <v>105.22539999999999</v>
      </c>
      <c r="K44" s="13">
        <f t="shared" si="1"/>
        <v>0.14656716417910448</v>
      </c>
    </row>
    <row r="45" spans="1:11">
      <c r="A45" s="8" t="s">
        <v>102</v>
      </c>
      <c r="B45" s="9" t="s">
        <v>184</v>
      </c>
      <c r="C45" s="9" t="str">
        <f t="shared" si="0"/>
        <v>WM+ PTO Khu 3, TT Phong Châu</v>
      </c>
      <c r="D45" s="10" t="s">
        <v>185</v>
      </c>
      <c r="E45" s="9" t="s">
        <v>32</v>
      </c>
      <c r="F45" s="10">
        <v>67</v>
      </c>
      <c r="G45" s="10">
        <v>23627.55</v>
      </c>
      <c r="H45" s="10">
        <v>10.220000000000001</v>
      </c>
      <c r="I45" s="11">
        <v>21.4084</v>
      </c>
      <c r="J45" s="12">
        <v>105.30549999999999</v>
      </c>
      <c r="K45" s="13">
        <f t="shared" si="1"/>
        <v>0.15253731343283583</v>
      </c>
    </row>
    <row r="46" spans="1:11">
      <c r="A46" s="8" t="s">
        <v>102</v>
      </c>
      <c r="B46" s="9" t="s">
        <v>186</v>
      </c>
      <c r="C46" s="9" t="str">
        <f t="shared" si="0"/>
        <v>WM+ PTO Thanh Bình, Âu Cơ</v>
      </c>
      <c r="D46" s="10" t="s">
        <v>187</v>
      </c>
      <c r="E46" s="9" t="s">
        <v>29</v>
      </c>
      <c r="F46" s="10">
        <v>67</v>
      </c>
      <c r="G46" s="10">
        <v>17382.07</v>
      </c>
      <c r="H46" s="10">
        <v>6.26</v>
      </c>
      <c r="I46" s="11">
        <v>21.399979999999999</v>
      </c>
      <c r="J46" s="12">
        <v>105.1889</v>
      </c>
      <c r="K46" s="13">
        <f t="shared" si="1"/>
        <v>9.3432835820895524E-2</v>
      </c>
    </row>
    <row r="47" spans="1:11">
      <c r="A47" s="8" t="s">
        <v>102</v>
      </c>
      <c r="B47" s="9" t="s">
        <v>188</v>
      </c>
      <c r="C47" s="9" t="str">
        <f t="shared" si="0"/>
        <v>WM+ PTO Khu 1, Bản Nguyên</v>
      </c>
      <c r="D47" s="10" t="s">
        <v>189</v>
      </c>
      <c r="E47" s="9" t="s">
        <v>40</v>
      </c>
      <c r="F47" s="10">
        <v>67</v>
      </c>
      <c r="G47" s="10">
        <v>24144.78</v>
      </c>
      <c r="H47" s="10">
        <v>9.34</v>
      </c>
      <c r="I47" s="11">
        <v>21.26925</v>
      </c>
      <c r="J47" s="12">
        <v>105.295</v>
      </c>
      <c r="K47" s="13">
        <f t="shared" si="1"/>
        <v>0.13940298507462687</v>
      </c>
    </row>
    <row r="48" spans="1:11">
      <c r="A48" s="8" t="s">
        <v>102</v>
      </c>
      <c r="B48" s="9" t="s">
        <v>190</v>
      </c>
      <c r="C48" s="9" t="str">
        <f t="shared" si="0"/>
        <v>WM+ PTO 66 Hàn Thuyên</v>
      </c>
      <c r="D48" s="10">
        <v>3993</v>
      </c>
      <c r="E48" s="9" t="s">
        <v>191</v>
      </c>
      <c r="F48" s="10">
        <v>67</v>
      </c>
      <c r="G48" s="10">
        <v>32329.52</v>
      </c>
      <c r="H48" s="10">
        <v>10.86</v>
      </c>
      <c r="I48" s="11">
        <v>21.324400000000001</v>
      </c>
      <c r="J48" s="12">
        <v>105.399</v>
      </c>
      <c r="K48" s="13">
        <f t="shared" si="1"/>
        <v>0.16208955223880597</v>
      </c>
    </row>
    <row r="49" spans="1:11">
      <c r="A49" s="8" t="s">
        <v>102</v>
      </c>
      <c r="B49" s="9" t="s">
        <v>192</v>
      </c>
      <c r="C49" s="9" t="str">
        <f t="shared" si="0"/>
        <v>WM+ PTO 191 Cao Du</v>
      </c>
      <c r="D49" s="10">
        <v>5847</v>
      </c>
      <c r="E49" s="9" t="s">
        <v>57</v>
      </c>
      <c r="F49" s="10">
        <v>67</v>
      </c>
      <c r="G49" s="10">
        <v>16817.13</v>
      </c>
      <c r="H49" s="10">
        <v>6.75</v>
      </c>
      <c r="I49" s="11">
        <v>21.397490000000001</v>
      </c>
      <c r="J49" s="12">
        <v>105.2208</v>
      </c>
      <c r="K49" s="13">
        <f t="shared" si="1"/>
        <v>0.10074626865671642</v>
      </c>
    </row>
    <row r="50" spans="1:11">
      <c r="A50" s="8" t="s">
        <v>102</v>
      </c>
      <c r="B50" s="9" t="s">
        <v>193</v>
      </c>
      <c r="C50" s="9" t="str">
        <f t="shared" si="0"/>
        <v>WM+ PTO Khu 3 Hùng Lô, Việt Trì</v>
      </c>
      <c r="D50" s="10">
        <v>6399</v>
      </c>
      <c r="E50" s="9" t="s">
        <v>194</v>
      </c>
      <c r="F50" s="10">
        <v>67</v>
      </c>
      <c r="G50" s="10">
        <v>53728.25</v>
      </c>
      <c r="H50" s="10">
        <v>16.23</v>
      </c>
      <c r="I50" s="11">
        <v>21.369910000000001</v>
      </c>
      <c r="J50" s="12">
        <v>105.386</v>
      </c>
      <c r="K50" s="13">
        <f t="shared" si="1"/>
        <v>0.24223880597014927</v>
      </c>
    </row>
    <row r="51" spans="1:11">
      <c r="A51" s="8" t="s">
        <v>102</v>
      </c>
      <c r="B51" s="9" t="s">
        <v>195</v>
      </c>
      <c r="C51" s="9" t="str">
        <f t="shared" si="0"/>
        <v>WM+ PTO Băng 1, Nguyễn Tất Thành</v>
      </c>
      <c r="D51" s="10" t="s">
        <v>196</v>
      </c>
      <c r="E51" s="9" t="s">
        <v>39</v>
      </c>
      <c r="F51" s="10">
        <v>68</v>
      </c>
      <c r="G51" s="10">
        <v>14917.46</v>
      </c>
      <c r="H51" s="10">
        <v>8.24</v>
      </c>
      <c r="I51" s="11">
        <v>21.308160000000001</v>
      </c>
      <c r="J51" s="12">
        <v>105.42659999999999</v>
      </c>
      <c r="K51" s="13">
        <f t="shared" si="1"/>
        <v>0.1211764705882353</v>
      </c>
    </row>
    <row r="52" spans="1:11">
      <c r="A52" s="8" t="s">
        <v>102</v>
      </c>
      <c r="B52" s="9" t="s">
        <v>197</v>
      </c>
      <c r="C52" s="9" t="str">
        <f t="shared" si="0"/>
        <v>WM+ PTO Giáp Xuân, Phú Khê</v>
      </c>
      <c r="D52" s="10" t="s">
        <v>198</v>
      </c>
      <c r="E52" s="9" t="s">
        <v>6</v>
      </c>
      <c r="F52" s="10">
        <v>68</v>
      </c>
      <c r="G52" s="10">
        <v>30373.7</v>
      </c>
      <c r="H52" s="10">
        <v>9.43</v>
      </c>
      <c r="I52" s="11">
        <v>21.381340000000002</v>
      </c>
      <c r="J52" s="12">
        <v>105.10939999999999</v>
      </c>
      <c r="K52" s="13">
        <f t="shared" si="1"/>
        <v>0.13867647058823529</v>
      </c>
    </row>
    <row r="53" spans="1:11">
      <c r="A53" s="8" t="s">
        <v>102</v>
      </c>
      <c r="B53" s="9" t="s">
        <v>199</v>
      </c>
      <c r="C53" s="9" t="str">
        <f t="shared" si="0"/>
        <v>WM+ PTO Khu 2, Xuân Lũng</v>
      </c>
      <c r="D53" s="10" t="s">
        <v>200</v>
      </c>
      <c r="E53" s="9" t="s">
        <v>17</v>
      </c>
      <c r="F53" s="10">
        <v>68</v>
      </c>
      <c r="G53" s="10">
        <v>35035.17</v>
      </c>
      <c r="H53" s="10">
        <v>13.01</v>
      </c>
      <c r="I53" s="11">
        <v>21.372170000000001</v>
      </c>
      <c r="J53" s="12">
        <v>105.2987</v>
      </c>
      <c r="K53" s="13">
        <f t="shared" si="1"/>
        <v>0.1913235294117647</v>
      </c>
    </row>
    <row r="54" spans="1:11">
      <c r="A54" s="8" t="s">
        <v>102</v>
      </c>
      <c r="B54" s="9" t="s">
        <v>201</v>
      </c>
      <c r="C54" s="9" t="str">
        <f t="shared" si="0"/>
        <v>WM+ PTO Đề Ngữ, Yên Sơn</v>
      </c>
      <c r="D54" s="10" t="s">
        <v>202</v>
      </c>
      <c r="E54" s="9" t="s">
        <v>53</v>
      </c>
      <c r="F54" s="10">
        <v>68</v>
      </c>
      <c r="G54" s="10">
        <v>18501.78</v>
      </c>
      <c r="H54" s="10">
        <v>10</v>
      </c>
      <c r="I54" s="11">
        <v>20.970859999999998</v>
      </c>
      <c r="J54" s="12">
        <v>105.2856</v>
      </c>
      <c r="K54" s="13">
        <f t="shared" si="1"/>
        <v>0.14705882352941177</v>
      </c>
    </row>
    <row r="55" spans="1:11">
      <c r="A55" s="8" t="s">
        <v>102</v>
      </c>
      <c r="B55" s="9" t="s">
        <v>203</v>
      </c>
      <c r="C55" s="9" t="str">
        <f t="shared" si="0"/>
        <v>WM+ PTO Khu 11, Tu Vũ</v>
      </c>
      <c r="D55" s="10" t="s">
        <v>204</v>
      </c>
      <c r="E55" s="9" t="s">
        <v>10</v>
      </c>
      <c r="F55" s="10">
        <v>68</v>
      </c>
      <c r="G55" s="10">
        <v>21757.49</v>
      </c>
      <c r="H55" s="10">
        <v>9.1999999999999993</v>
      </c>
      <c r="I55" s="11">
        <v>21.10792</v>
      </c>
      <c r="J55" s="12">
        <v>105.3145</v>
      </c>
      <c r="K55" s="13">
        <f t="shared" si="1"/>
        <v>0.13529411764705881</v>
      </c>
    </row>
    <row r="56" spans="1:11">
      <c r="A56" s="8" t="s">
        <v>102</v>
      </c>
      <c r="B56" s="9" t="s">
        <v>205</v>
      </c>
      <c r="C56" s="9" t="str">
        <f t="shared" si="0"/>
        <v>WM+ PTO Quyết Tiến, Cự Đồng</v>
      </c>
      <c r="D56" s="10" t="s">
        <v>206</v>
      </c>
      <c r="E56" s="9" t="s">
        <v>45</v>
      </c>
      <c r="F56" s="10">
        <v>68</v>
      </c>
      <c r="G56" s="10">
        <v>18562.150000000001</v>
      </c>
      <c r="H56" s="10">
        <v>7.58</v>
      </c>
      <c r="I56" s="11">
        <v>21.113669999999999</v>
      </c>
      <c r="J56" s="12">
        <v>105.23099999999999</v>
      </c>
      <c r="K56" s="13">
        <f t="shared" si="1"/>
        <v>0.11147058823529411</v>
      </c>
    </row>
    <row r="57" spans="1:11">
      <c r="A57" s="8" t="s">
        <v>102</v>
      </c>
      <c r="B57" s="9" t="s">
        <v>207</v>
      </c>
      <c r="C57" s="9" t="str">
        <f t="shared" si="0"/>
        <v>WM+ PTO Khu 3, Thanh Thủy</v>
      </c>
      <c r="D57" s="10" t="s">
        <v>208</v>
      </c>
      <c r="E57" s="9" t="s">
        <v>31</v>
      </c>
      <c r="F57" s="10">
        <v>68</v>
      </c>
      <c r="G57" s="10">
        <v>17972.28</v>
      </c>
      <c r="H57" s="10">
        <v>6.33</v>
      </c>
      <c r="I57" s="11">
        <v>21.126249999999999</v>
      </c>
      <c r="J57" s="12">
        <v>105.271</v>
      </c>
      <c r="K57" s="13">
        <f t="shared" si="1"/>
        <v>9.3088235294117652E-2</v>
      </c>
    </row>
    <row r="58" spans="1:11">
      <c r="A58" s="8" t="s">
        <v>102</v>
      </c>
      <c r="B58" s="9" t="s">
        <v>209</v>
      </c>
      <c r="C58" s="9" t="str">
        <f t="shared" si="0"/>
        <v>WM+ PTO 62 Phan Châu Trinh</v>
      </c>
      <c r="D58" s="10">
        <v>3313</v>
      </c>
      <c r="E58" s="9" t="s">
        <v>210</v>
      </c>
      <c r="F58" s="10">
        <v>68</v>
      </c>
      <c r="G58" s="10">
        <v>20594.96</v>
      </c>
      <c r="H58" s="10">
        <v>9.9499999999999993</v>
      </c>
      <c r="I58" s="11">
        <v>21.323519999999998</v>
      </c>
      <c r="J58" s="12">
        <v>105.38720000000001</v>
      </c>
      <c r="K58" s="13">
        <f t="shared" si="1"/>
        <v>0.14632352941176469</v>
      </c>
    </row>
    <row r="59" spans="1:11">
      <c r="A59" s="8" t="s">
        <v>102</v>
      </c>
      <c r="B59" s="9" t="s">
        <v>211</v>
      </c>
      <c r="C59" s="9" t="str">
        <f t="shared" si="0"/>
        <v>WM+ PTO Cao Xá, Lâm Thao</v>
      </c>
      <c r="D59" s="10">
        <v>6338</v>
      </c>
      <c r="E59" s="9" t="s">
        <v>212</v>
      </c>
      <c r="F59" s="10">
        <v>68</v>
      </c>
      <c r="G59" s="10">
        <v>31098.45</v>
      </c>
      <c r="H59" s="10">
        <v>11.46</v>
      </c>
      <c r="I59" s="11">
        <v>21.297540000000001</v>
      </c>
      <c r="J59" s="12">
        <v>105.349</v>
      </c>
      <c r="K59" s="13">
        <f t="shared" si="1"/>
        <v>0.1685294117647059</v>
      </c>
    </row>
    <row r="60" spans="1:11">
      <c r="A60" s="8" t="s">
        <v>102</v>
      </c>
      <c r="B60" s="9" t="s">
        <v>213</v>
      </c>
      <c r="C60" s="9" t="str">
        <f t="shared" si="0"/>
        <v>WM+ PTO Khu 12, TT Lâm Thao</v>
      </c>
      <c r="D60" s="10">
        <v>6540</v>
      </c>
      <c r="E60" s="9" t="s">
        <v>86</v>
      </c>
      <c r="F60" s="10">
        <v>68</v>
      </c>
      <c r="G60" s="10">
        <v>12644.13</v>
      </c>
      <c r="H60" s="10">
        <v>7.42</v>
      </c>
      <c r="I60" s="11">
        <v>21.338529999999999</v>
      </c>
      <c r="J60" s="12">
        <v>105.2932</v>
      </c>
      <c r="K60" s="13">
        <f t="shared" si="1"/>
        <v>0.10911764705882353</v>
      </c>
    </row>
    <row r="61" spans="1:11">
      <c r="A61" s="8" t="s">
        <v>102</v>
      </c>
      <c r="B61" s="9" t="s">
        <v>214</v>
      </c>
      <c r="C61" s="9" t="str">
        <f t="shared" si="0"/>
        <v>WM+ PTO Tân Hương, Hương Cần</v>
      </c>
      <c r="D61" s="10" t="s">
        <v>215</v>
      </c>
      <c r="E61" s="9" t="s">
        <v>46</v>
      </c>
      <c r="F61" s="10">
        <v>69</v>
      </c>
      <c r="G61" s="10">
        <v>18224.009999999998</v>
      </c>
      <c r="H61" s="10">
        <v>10.220000000000001</v>
      </c>
      <c r="I61" s="11">
        <v>21.023</v>
      </c>
      <c r="J61" s="12">
        <v>105.2418</v>
      </c>
      <c r="K61" s="13">
        <f t="shared" si="1"/>
        <v>0.14811594202898551</v>
      </c>
    </row>
    <row r="62" spans="1:11">
      <c r="A62" s="8" t="s">
        <v>102</v>
      </c>
      <c r="B62" s="9" t="s">
        <v>216</v>
      </c>
      <c r="C62" s="9" t="str">
        <f t="shared" si="0"/>
        <v>WM+ PTO Đống Cả, Xuân Đài</v>
      </c>
      <c r="D62" s="10" t="s">
        <v>217</v>
      </c>
      <c r="E62" s="9" t="s">
        <v>16</v>
      </c>
      <c r="F62" s="10">
        <v>69</v>
      </c>
      <c r="G62" s="10">
        <v>25408.2</v>
      </c>
      <c r="H62" s="10">
        <v>9.1</v>
      </c>
      <c r="I62" s="11">
        <v>21.11927</v>
      </c>
      <c r="J62" s="12">
        <v>105.009</v>
      </c>
      <c r="K62" s="13">
        <f t="shared" si="1"/>
        <v>0.13188405797101449</v>
      </c>
    </row>
    <row r="63" spans="1:11">
      <c r="A63" s="8" t="s">
        <v>102</v>
      </c>
      <c r="B63" s="9" t="s">
        <v>218</v>
      </c>
      <c r="C63" s="9" t="str">
        <f t="shared" si="0"/>
        <v>WM+ PTO An Ninh Hạ, Phú Thọ</v>
      </c>
      <c r="D63" s="10" t="s">
        <v>219</v>
      </c>
      <c r="E63" s="9" t="s">
        <v>28</v>
      </c>
      <c r="F63" s="10">
        <v>69</v>
      </c>
      <c r="G63" s="10">
        <v>23455.919999999998</v>
      </c>
      <c r="H63" s="10">
        <v>8.1999999999999993</v>
      </c>
      <c r="I63" s="11">
        <v>21.422599999999999</v>
      </c>
      <c r="J63" s="12">
        <v>105.2159</v>
      </c>
      <c r="K63" s="13">
        <f t="shared" si="1"/>
        <v>0.11884057971014492</v>
      </c>
    </row>
    <row r="64" spans="1:11">
      <c r="A64" s="8" t="s">
        <v>102</v>
      </c>
      <c r="B64" s="9" t="s">
        <v>220</v>
      </c>
      <c r="C64" s="9" t="str">
        <f t="shared" si="0"/>
        <v>WM+ PTO Băng 1, Quang Trung</v>
      </c>
      <c r="D64" s="10">
        <v>3642</v>
      </c>
      <c r="E64" s="9" t="s">
        <v>221</v>
      </c>
      <c r="F64" s="10">
        <v>69</v>
      </c>
      <c r="G64" s="10">
        <v>40261.21</v>
      </c>
      <c r="H64" s="10">
        <v>13.57</v>
      </c>
      <c r="I64" s="11">
        <v>21.329499999999999</v>
      </c>
      <c r="J64" s="12">
        <v>105.39</v>
      </c>
      <c r="K64" s="13">
        <f t="shared" si="1"/>
        <v>0.19666666666666668</v>
      </c>
    </row>
    <row r="65" spans="1:11">
      <c r="A65" s="8" t="s">
        <v>102</v>
      </c>
      <c r="B65" s="9" t="s">
        <v>222</v>
      </c>
      <c r="C65" s="9" t="str">
        <f t="shared" si="0"/>
        <v>WM+ PTO 12 Hàn Thuyên</v>
      </c>
      <c r="D65" s="10">
        <v>5944</v>
      </c>
      <c r="E65" s="9" t="s">
        <v>67</v>
      </c>
      <c r="F65" s="10">
        <v>69</v>
      </c>
      <c r="G65" s="10">
        <v>26360.05</v>
      </c>
      <c r="H65" s="10">
        <v>10.92</v>
      </c>
      <c r="I65" s="11">
        <v>21.500769999999999</v>
      </c>
      <c r="J65" s="12">
        <v>105.1405</v>
      </c>
      <c r="K65" s="13">
        <f t="shared" si="1"/>
        <v>0.1582608695652174</v>
      </c>
    </row>
    <row r="66" spans="1:11">
      <c r="A66" s="8" t="s">
        <v>102</v>
      </c>
      <c r="B66" s="9" t="s">
        <v>223</v>
      </c>
      <c r="C66" s="9" t="str">
        <f t="shared" si="0"/>
        <v>WM+ PTO Đồng Gia, Việt Trì</v>
      </c>
      <c r="D66" s="10">
        <v>6460</v>
      </c>
      <c r="E66" s="9" t="s">
        <v>84</v>
      </c>
      <c r="F66" s="10">
        <v>69</v>
      </c>
      <c r="G66" s="10">
        <v>35631.08</v>
      </c>
      <c r="H66" s="10">
        <v>19.48</v>
      </c>
      <c r="I66" s="11">
        <v>21.314299999999999</v>
      </c>
      <c r="J66" s="12">
        <v>105.3907</v>
      </c>
      <c r="K66" s="13">
        <f t="shared" si="1"/>
        <v>0.28231884057971013</v>
      </c>
    </row>
    <row r="67" spans="1:11">
      <c r="A67" s="8" t="s">
        <v>102</v>
      </c>
      <c r="B67" s="9" t="s">
        <v>224</v>
      </c>
      <c r="C67" s="9" t="str">
        <f t="shared" si="0"/>
        <v>WM+ PTO 545 Trần Phú</v>
      </c>
      <c r="D67" s="10">
        <v>6529</v>
      </c>
      <c r="E67" s="9" t="s">
        <v>85</v>
      </c>
      <c r="F67" s="10">
        <v>69</v>
      </c>
      <c r="G67" s="10">
        <v>27931.25</v>
      </c>
      <c r="H67" s="10">
        <v>12.94</v>
      </c>
      <c r="I67" s="11">
        <v>21.3398</v>
      </c>
      <c r="J67" s="12">
        <v>105.40479999999999</v>
      </c>
      <c r="K67" s="13">
        <f t="shared" si="1"/>
        <v>0.18753623188405796</v>
      </c>
    </row>
    <row r="68" spans="1:11">
      <c r="A68" s="8" t="s">
        <v>102</v>
      </c>
      <c r="B68" s="9" t="s">
        <v>225</v>
      </c>
      <c r="C68" s="9" t="str">
        <f t="shared" si="0"/>
        <v>WM+ PTO Khu Trung Tâm, Lương Sơn</v>
      </c>
      <c r="D68" s="10" t="s">
        <v>226</v>
      </c>
      <c r="E68" s="9" t="s">
        <v>42</v>
      </c>
      <c r="F68" s="10">
        <v>70</v>
      </c>
      <c r="G68" s="10">
        <v>53249.48</v>
      </c>
      <c r="H68" s="10">
        <v>11.22</v>
      </c>
      <c r="I68" s="11">
        <v>21.452570000000001</v>
      </c>
      <c r="J68" s="12">
        <v>104.9721</v>
      </c>
      <c r="K68" s="13">
        <f t="shared" si="1"/>
        <v>0.16028571428571428</v>
      </c>
    </row>
    <row r="69" spans="1:11">
      <c r="A69" s="8" t="s">
        <v>102</v>
      </c>
      <c r="B69" s="9" t="s">
        <v>227</v>
      </c>
      <c r="C69" s="9" t="str">
        <f t="shared" si="0"/>
        <v>WM+ PTO Trung Tiến 2, Hùng Việt</v>
      </c>
      <c r="D69" s="10" t="s">
        <v>228</v>
      </c>
      <c r="E69" s="9" t="s">
        <v>11</v>
      </c>
      <c r="F69" s="10">
        <v>70</v>
      </c>
      <c r="G69" s="10">
        <v>18894.47</v>
      </c>
      <c r="H69" s="10">
        <v>8.52</v>
      </c>
      <c r="I69" s="11">
        <v>21.375250000000001</v>
      </c>
      <c r="J69" s="12">
        <v>105.1425</v>
      </c>
      <c r="K69" s="13">
        <f t="shared" si="1"/>
        <v>0.12171428571428571</v>
      </c>
    </row>
    <row r="70" spans="1:11">
      <c r="A70" s="8" t="s">
        <v>102</v>
      </c>
      <c r="B70" s="9" t="s">
        <v>229</v>
      </c>
      <c r="C70" s="9" t="str">
        <f t="shared" si="0"/>
        <v>WM+ PTO Khu 6, Hy Cương</v>
      </c>
      <c r="D70" s="10" t="s">
        <v>230</v>
      </c>
      <c r="E70" s="9" t="s">
        <v>37</v>
      </c>
      <c r="F70" s="10">
        <v>70</v>
      </c>
      <c r="G70" s="10">
        <v>17012.12</v>
      </c>
      <c r="H70" s="10">
        <v>9.83</v>
      </c>
      <c r="I70" s="11">
        <v>21.32807</v>
      </c>
      <c r="J70" s="12">
        <v>105.32559999999999</v>
      </c>
      <c r="K70" s="13">
        <f t="shared" si="1"/>
        <v>0.14042857142857143</v>
      </c>
    </row>
    <row r="71" spans="1:11">
      <c r="A71" s="8" t="s">
        <v>102</v>
      </c>
      <c r="B71" s="9" t="s">
        <v>231</v>
      </c>
      <c r="C71" s="9" t="str">
        <f t="shared" si="0"/>
        <v>WM+ PTO Phượng Hùng 1, Chí Đám</v>
      </c>
      <c r="D71" s="10" t="s">
        <v>232</v>
      </c>
      <c r="E71" s="9" t="s">
        <v>44</v>
      </c>
      <c r="F71" s="10">
        <v>70</v>
      </c>
      <c r="G71" s="10">
        <v>24589.98</v>
      </c>
      <c r="H71" s="10">
        <v>9.92</v>
      </c>
      <c r="I71" s="11">
        <v>21.6511</v>
      </c>
      <c r="J71" s="12">
        <v>105.2024</v>
      </c>
      <c r="K71" s="13">
        <f t="shared" si="1"/>
        <v>0.14171428571428571</v>
      </c>
    </row>
    <row r="72" spans="1:11">
      <c r="A72" s="8" t="s">
        <v>102</v>
      </c>
      <c r="B72" s="9" t="s">
        <v>233</v>
      </c>
      <c r="C72" s="9" t="str">
        <f t="shared" si="0"/>
        <v>WM+ PTO Thành Công, Việt Trì</v>
      </c>
      <c r="D72" s="10">
        <v>3464</v>
      </c>
      <c r="E72" s="9" t="s">
        <v>74</v>
      </c>
      <c r="F72" s="10">
        <v>70</v>
      </c>
      <c r="G72" s="10">
        <v>32410.1</v>
      </c>
      <c r="H72" s="10">
        <v>16.82</v>
      </c>
      <c r="I72" s="11">
        <v>21.312000000000001</v>
      </c>
      <c r="J72" s="12">
        <v>105.417</v>
      </c>
      <c r="K72" s="13">
        <f t="shared" si="1"/>
        <v>0.2402857142857143</v>
      </c>
    </row>
    <row r="73" spans="1:11">
      <c r="A73" s="8" t="s">
        <v>102</v>
      </c>
      <c r="B73" s="9" t="s">
        <v>234</v>
      </c>
      <c r="C73" s="9" t="str">
        <f t="shared" si="0"/>
        <v>WM+ PTO 167-169 Nguyễn Trãi</v>
      </c>
      <c r="D73" s="10">
        <v>6117</v>
      </c>
      <c r="E73" s="9" t="s">
        <v>70</v>
      </c>
      <c r="F73" s="10">
        <v>70</v>
      </c>
      <c r="G73" s="10">
        <v>82521.84</v>
      </c>
      <c r="H73" s="10">
        <v>20.63</v>
      </c>
      <c r="I73" s="11">
        <v>21.331289999999999</v>
      </c>
      <c r="J73" s="12">
        <v>105.3702</v>
      </c>
      <c r="K73" s="13">
        <f t="shared" si="1"/>
        <v>0.29471428571428571</v>
      </c>
    </row>
    <row r="74" spans="1:11">
      <c r="A74" s="8" t="s">
        <v>102</v>
      </c>
      <c r="B74" s="9" t="s">
        <v>235</v>
      </c>
      <c r="C74" s="9" t="str">
        <f t="shared" si="0"/>
        <v>WM+ PTO Khu 1, Bảo Yên</v>
      </c>
      <c r="D74" s="10" t="s">
        <v>236</v>
      </c>
      <c r="E74" s="9" t="s">
        <v>237</v>
      </c>
      <c r="F74" s="10">
        <v>71</v>
      </c>
      <c r="G74" s="10">
        <v>21359.29</v>
      </c>
      <c r="H74" s="10">
        <v>11.38</v>
      </c>
      <c r="I74" s="11">
        <v>21.15663</v>
      </c>
      <c r="J74" s="12">
        <v>105.2842</v>
      </c>
      <c r="K74" s="13">
        <f t="shared" si="1"/>
        <v>0.16028169014084509</v>
      </c>
    </row>
    <row r="75" spans="1:11">
      <c r="A75" s="8" t="s">
        <v>102</v>
      </c>
      <c r="B75" s="9" t="s">
        <v>238</v>
      </c>
      <c r="C75" s="9" t="str">
        <f t="shared" si="0"/>
        <v>WM+ PTO 28 Phố Vàng</v>
      </c>
      <c r="D75" s="10" t="s">
        <v>239</v>
      </c>
      <c r="E75" s="9" t="s">
        <v>27</v>
      </c>
      <c r="F75" s="10">
        <v>71</v>
      </c>
      <c r="G75" s="10">
        <v>24684.39</v>
      </c>
      <c r="H75" s="10">
        <v>11.21</v>
      </c>
      <c r="I75" s="11">
        <v>21.211300000000001</v>
      </c>
      <c r="J75" s="12">
        <v>105.17959999999999</v>
      </c>
      <c r="K75" s="13">
        <f t="shared" si="1"/>
        <v>0.15788732394366198</v>
      </c>
    </row>
    <row r="76" spans="1:11">
      <c r="A76" s="8" t="s">
        <v>102</v>
      </c>
      <c r="B76" s="9" t="s">
        <v>240</v>
      </c>
      <c r="C76" s="9" t="str">
        <f t="shared" si="0"/>
        <v>WM+ PTO Khu 10, Hạ Hòa</v>
      </c>
      <c r="D76" s="10" t="s">
        <v>241</v>
      </c>
      <c r="E76" s="9" t="s">
        <v>49</v>
      </c>
      <c r="F76" s="10">
        <v>71</v>
      </c>
      <c r="G76" s="10">
        <v>25521.18</v>
      </c>
      <c r="H76" s="10">
        <v>13.99</v>
      </c>
      <c r="I76" s="11">
        <v>21.564489999999999</v>
      </c>
      <c r="J76" s="12">
        <v>105.0063</v>
      </c>
      <c r="K76" s="13">
        <f t="shared" si="1"/>
        <v>0.19704225352112675</v>
      </c>
    </row>
    <row r="77" spans="1:11">
      <c r="A77" s="8" t="s">
        <v>102</v>
      </c>
      <c r="B77" s="9" t="s">
        <v>242</v>
      </c>
      <c r="C77" s="9" t="str">
        <f t="shared" si="0"/>
        <v>WM+ PTO Khu 10, Phù Ninh</v>
      </c>
      <c r="D77" s="10" t="s">
        <v>243</v>
      </c>
      <c r="E77" s="9" t="s">
        <v>50</v>
      </c>
      <c r="F77" s="10">
        <v>71</v>
      </c>
      <c r="G77" s="10">
        <v>16752.669999999998</v>
      </c>
      <c r="H77" s="10">
        <v>8.6199999999999992</v>
      </c>
      <c r="I77" s="11">
        <v>21.39697</v>
      </c>
      <c r="J77" s="12">
        <v>105.3257</v>
      </c>
      <c r="K77" s="13">
        <f t="shared" si="1"/>
        <v>0.12140845070422535</v>
      </c>
    </row>
    <row r="78" spans="1:11">
      <c r="A78" s="8" t="s">
        <v>102</v>
      </c>
      <c r="B78" s="9" t="s">
        <v>244</v>
      </c>
      <c r="C78" s="9" t="str">
        <f t="shared" si="0"/>
        <v>WM+ PTO Khu 15, Dục Mỹ</v>
      </c>
      <c r="D78" s="10" t="s">
        <v>245</v>
      </c>
      <c r="E78" s="9" t="s">
        <v>12</v>
      </c>
      <c r="F78" s="10">
        <v>71</v>
      </c>
      <c r="G78" s="10">
        <v>21351.52</v>
      </c>
      <c r="H78" s="10">
        <v>9.9</v>
      </c>
      <c r="I78" s="11">
        <v>21.30395</v>
      </c>
      <c r="J78" s="12">
        <v>105.3205</v>
      </c>
      <c r="K78" s="13">
        <f t="shared" si="1"/>
        <v>0.13943661971830987</v>
      </c>
    </row>
    <row r="79" spans="1:11">
      <c r="A79" s="8" t="s">
        <v>102</v>
      </c>
      <c r="B79" s="9" t="s">
        <v>246</v>
      </c>
      <c r="C79" s="9" t="str">
        <f t="shared" si="0"/>
        <v>WM+ PTO 188 Đường Nam, Phù Ninh</v>
      </c>
      <c r="D79" s="10">
        <v>5689</v>
      </c>
      <c r="E79" s="9" t="s">
        <v>62</v>
      </c>
      <c r="F79" s="10">
        <v>71</v>
      </c>
      <c r="G79" s="10">
        <v>43739.46</v>
      </c>
      <c r="H79" s="10">
        <v>11.26</v>
      </c>
      <c r="I79" s="11">
        <v>21.407800000000002</v>
      </c>
      <c r="J79" s="12">
        <v>105.3137</v>
      </c>
      <c r="K79" s="13">
        <f t="shared" si="1"/>
        <v>0.15859154929577465</v>
      </c>
    </row>
    <row r="80" spans="1:11">
      <c r="A80" s="8" t="s">
        <v>102</v>
      </c>
      <c r="B80" s="9" t="s">
        <v>247</v>
      </c>
      <c r="C80" s="9" t="str">
        <f t="shared" si="0"/>
        <v>WM+ PTO 25 tổ 10 Tân An</v>
      </c>
      <c r="D80" s="10">
        <v>5814</v>
      </c>
      <c r="E80" s="9" t="s">
        <v>56</v>
      </c>
      <c r="F80" s="10">
        <v>71</v>
      </c>
      <c r="G80" s="10">
        <v>31613.79</v>
      </c>
      <c r="H80" s="10">
        <v>8.6</v>
      </c>
      <c r="I80" s="11">
        <v>21.405609999999999</v>
      </c>
      <c r="J80" s="12">
        <v>105.2123</v>
      </c>
      <c r="K80" s="13">
        <f t="shared" si="1"/>
        <v>0.12112676056338027</v>
      </c>
    </row>
    <row r="81" spans="1:11">
      <c r="A81" s="8" t="s">
        <v>102</v>
      </c>
      <c r="B81" s="9" t="s">
        <v>248</v>
      </c>
      <c r="C81" s="9" t="str">
        <f t="shared" si="0"/>
        <v>WM+ PTO 26 Âu Cơ</v>
      </c>
      <c r="D81" s="10">
        <v>5905</v>
      </c>
      <c r="E81" s="9" t="s">
        <v>249</v>
      </c>
      <c r="F81" s="10">
        <v>71</v>
      </c>
      <c r="G81" s="10">
        <v>32310.73</v>
      </c>
      <c r="H81" s="10">
        <v>10.75</v>
      </c>
      <c r="I81" s="11">
        <v>21.325410000000002</v>
      </c>
      <c r="J81" s="12">
        <v>105.2837</v>
      </c>
      <c r="K81" s="13">
        <f t="shared" si="1"/>
        <v>0.15140845070422534</v>
      </c>
    </row>
    <row r="82" spans="1:11">
      <c r="A82" s="8" t="s">
        <v>102</v>
      </c>
      <c r="B82" s="9" t="s">
        <v>250</v>
      </c>
      <c r="C82" s="9" t="str">
        <f t="shared" si="0"/>
        <v>WM+ PTO 476 Châu Phong</v>
      </c>
      <c r="D82" s="10">
        <v>6045</v>
      </c>
      <c r="E82" s="9" t="s">
        <v>251</v>
      </c>
      <c r="F82" s="10">
        <v>71</v>
      </c>
      <c r="G82" s="10">
        <v>42290.31</v>
      </c>
      <c r="H82" s="10">
        <v>12.57</v>
      </c>
      <c r="I82" s="11">
        <v>21.322489999999998</v>
      </c>
      <c r="J82" s="12">
        <v>105.392</v>
      </c>
      <c r="K82" s="13">
        <f t="shared" si="1"/>
        <v>0.17704225352112676</v>
      </c>
    </row>
    <row r="83" spans="1:11">
      <c r="A83" s="8" t="s">
        <v>102</v>
      </c>
      <c r="B83" s="9" t="s">
        <v>252</v>
      </c>
      <c r="C83" s="9" t="str">
        <f t="shared" si="0"/>
        <v>WM+ PTO Khu 22 Hoàng Xá</v>
      </c>
      <c r="D83" s="10">
        <v>6178</v>
      </c>
      <c r="E83" s="9" t="s">
        <v>73</v>
      </c>
      <c r="F83" s="10">
        <v>71</v>
      </c>
      <c r="G83" s="10">
        <v>52625.04</v>
      </c>
      <c r="H83" s="10">
        <v>13.09</v>
      </c>
      <c r="I83" s="11">
        <v>21.11347</v>
      </c>
      <c r="J83" s="12">
        <v>105.2804</v>
      </c>
      <c r="K83" s="13">
        <f t="shared" si="1"/>
        <v>0.1843661971830986</v>
      </c>
    </row>
    <row r="84" spans="1:11">
      <c r="A84" s="8" t="s">
        <v>102</v>
      </c>
      <c r="B84" s="9" t="s">
        <v>253</v>
      </c>
      <c r="C84" s="9" t="str">
        <f t="shared" si="0"/>
        <v>WM+ PTO Khu 5, Xuân Lộc</v>
      </c>
      <c r="D84" s="10" t="s">
        <v>254</v>
      </c>
      <c r="E84" s="9" t="s">
        <v>20</v>
      </c>
      <c r="F84" s="10">
        <v>72</v>
      </c>
      <c r="G84" s="10">
        <v>25361.57</v>
      </c>
      <c r="H84" s="10">
        <v>8.9499999999999993</v>
      </c>
      <c r="I84" s="11">
        <v>21.210809999999999</v>
      </c>
      <c r="J84" s="12">
        <v>105.3259</v>
      </c>
      <c r="K84" s="13">
        <f t="shared" si="1"/>
        <v>0.12430555555555554</v>
      </c>
    </row>
    <row r="85" spans="1:11">
      <c r="A85" s="8" t="s">
        <v>102</v>
      </c>
      <c r="B85" s="9" t="s">
        <v>255</v>
      </c>
      <c r="C85" s="9" t="str">
        <f t="shared" si="0"/>
        <v>WM+ PTO Khu 14, Đào Xá</v>
      </c>
      <c r="D85" s="10" t="s">
        <v>256</v>
      </c>
      <c r="E85" s="9" t="s">
        <v>30</v>
      </c>
      <c r="F85" s="10">
        <v>72</v>
      </c>
      <c r="G85" s="10">
        <v>27294.54</v>
      </c>
      <c r="H85" s="10">
        <v>12.14</v>
      </c>
      <c r="I85" s="11">
        <v>21.22297</v>
      </c>
      <c r="J85" s="12">
        <v>105.2893</v>
      </c>
      <c r="K85" s="13">
        <f t="shared" si="1"/>
        <v>0.16861111111111113</v>
      </c>
    </row>
    <row r="86" spans="1:11">
      <c r="A86" s="8" t="s">
        <v>102</v>
      </c>
      <c r="B86" s="9" t="s">
        <v>257</v>
      </c>
      <c r="C86" s="9" t="str">
        <f t="shared" si="0"/>
        <v>WM+ PTO Khu 5, Tứ Xã</v>
      </c>
      <c r="D86" s="10" t="s">
        <v>258</v>
      </c>
      <c r="E86" s="9" t="s">
        <v>35</v>
      </c>
      <c r="F86" s="10">
        <v>72</v>
      </c>
      <c r="G86" s="10">
        <v>21319.78</v>
      </c>
      <c r="H86" s="10">
        <v>9.49</v>
      </c>
      <c r="I86" s="11">
        <v>21.28838</v>
      </c>
      <c r="J86" s="12">
        <v>105.30240000000001</v>
      </c>
      <c r="K86" s="13">
        <f t="shared" si="1"/>
        <v>0.13180555555555556</v>
      </c>
    </row>
    <row r="87" spans="1:11">
      <c r="A87" s="8" t="s">
        <v>102</v>
      </c>
      <c r="B87" s="9" t="s">
        <v>259</v>
      </c>
      <c r="C87" s="9" t="str">
        <f t="shared" si="0"/>
        <v>WM+ PTO Khu 4, Đoan Hạ</v>
      </c>
      <c r="D87" s="10" t="s">
        <v>260</v>
      </c>
      <c r="E87" s="9" t="s">
        <v>33</v>
      </c>
      <c r="F87" s="10">
        <v>72</v>
      </c>
      <c r="G87" s="10">
        <v>15670.65</v>
      </c>
      <c r="H87" s="10">
        <v>9.89</v>
      </c>
      <c r="I87" s="11">
        <v>21.141649999999998</v>
      </c>
      <c r="J87" s="12">
        <v>105.2954</v>
      </c>
      <c r="K87" s="13">
        <f t="shared" si="1"/>
        <v>0.13736111111111113</v>
      </c>
    </row>
    <row r="88" spans="1:11">
      <c r="A88" s="8" t="s">
        <v>102</v>
      </c>
      <c r="B88" s="9" t="s">
        <v>261</v>
      </c>
      <c r="C88" s="9" t="str">
        <f t="shared" si="0"/>
        <v>WM+ PTO Khu 2, Chân Mộng</v>
      </c>
      <c r="D88" s="10" t="s">
        <v>262</v>
      </c>
      <c r="E88" s="9" t="s">
        <v>48</v>
      </c>
      <c r="F88" s="10">
        <v>72</v>
      </c>
      <c r="G88" s="10">
        <v>17697.12</v>
      </c>
      <c r="H88" s="10">
        <v>8.5399999999999991</v>
      </c>
      <c r="I88" s="11">
        <v>21.52983</v>
      </c>
      <c r="J88" s="12">
        <v>105.2069</v>
      </c>
      <c r="K88" s="13">
        <f t="shared" si="1"/>
        <v>0.1186111111111111</v>
      </c>
    </row>
    <row r="89" spans="1:11">
      <c r="A89" s="8" t="s">
        <v>102</v>
      </c>
      <c r="B89" s="9" t="s">
        <v>263</v>
      </c>
      <c r="C89" s="9" t="str">
        <f t="shared" si="0"/>
        <v>WM+ PTO Khu Km5, Hà Lộc</v>
      </c>
      <c r="D89" s="10" t="s">
        <v>264</v>
      </c>
      <c r="E89" s="9" t="s">
        <v>38</v>
      </c>
      <c r="F89" s="10">
        <v>72</v>
      </c>
      <c r="G89" s="10">
        <v>16685.55</v>
      </c>
      <c r="H89" s="10">
        <v>10.85</v>
      </c>
      <c r="I89" s="11">
        <v>21.436540000000001</v>
      </c>
      <c r="J89" s="12">
        <v>105.22490000000001</v>
      </c>
      <c r="K89" s="13">
        <f t="shared" si="1"/>
        <v>0.15069444444444444</v>
      </c>
    </row>
    <row r="90" spans="1:11">
      <c r="A90" s="8" t="s">
        <v>102</v>
      </c>
      <c r="B90" s="9" t="s">
        <v>265</v>
      </c>
      <c r="C90" s="9" t="str">
        <f t="shared" si="0"/>
        <v>WM+ PTO Xóm Dẹ 1, Văn Miếu</v>
      </c>
      <c r="D90" s="10" t="s">
        <v>266</v>
      </c>
      <c r="E90" s="9" t="s">
        <v>47</v>
      </c>
      <c r="F90" s="10">
        <v>72</v>
      </c>
      <c r="G90" s="10">
        <v>27847.05</v>
      </c>
      <c r="H90" s="10">
        <v>12.72</v>
      </c>
      <c r="I90" s="11">
        <v>21.11393</v>
      </c>
      <c r="J90" s="12">
        <v>105.1143</v>
      </c>
      <c r="K90" s="13">
        <f t="shared" si="1"/>
        <v>0.17666666666666667</v>
      </c>
    </row>
    <row r="91" spans="1:11">
      <c r="A91" s="8" t="s">
        <v>102</v>
      </c>
      <c r="B91" s="9" t="s">
        <v>267</v>
      </c>
      <c r="C91" s="9" t="str">
        <f t="shared" si="0"/>
        <v>WM+ PTO Khu 3, Thanh Ba</v>
      </c>
      <c r="D91" s="10" t="s">
        <v>268</v>
      </c>
      <c r="E91" s="9" t="s">
        <v>19</v>
      </c>
      <c r="F91" s="10">
        <v>72</v>
      </c>
      <c r="G91" s="10">
        <v>25132.53</v>
      </c>
      <c r="H91" s="10">
        <v>10.36</v>
      </c>
      <c r="I91" s="11">
        <v>21.51763</v>
      </c>
      <c r="J91" s="12">
        <v>105.09690000000001</v>
      </c>
      <c r="K91" s="13">
        <f t="shared" si="1"/>
        <v>0.14388888888888887</v>
      </c>
    </row>
    <row r="92" spans="1:11">
      <c r="A92" s="8" t="s">
        <v>102</v>
      </c>
      <c r="B92" s="9" t="s">
        <v>269</v>
      </c>
      <c r="C92" s="9" t="str">
        <f t="shared" si="0"/>
        <v>WM+ PTO 130 Lê Quý Đôn</v>
      </c>
      <c r="D92" s="10">
        <v>3435</v>
      </c>
      <c r="E92" s="9" t="s">
        <v>270</v>
      </c>
      <c r="F92" s="10">
        <v>72</v>
      </c>
      <c r="G92" s="10">
        <v>60373.42</v>
      </c>
      <c r="H92" s="10">
        <v>18.350000000000001</v>
      </c>
      <c r="I92" s="11">
        <v>21.320620000000002</v>
      </c>
      <c r="J92" s="12">
        <v>105.3904</v>
      </c>
      <c r="K92" s="13">
        <f t="shared" si="1"/>
        <v>0.25486111111111115</v>
      </c>
    </row>
    <row r="93" spans="1:11">
      <c r="A93" s="8" t="s">
        <v>102</v>
      </c>
      <c r="B93" s="9" t="s">
        <v>271</v>
      </c>
      <c r="C93" s="9" t="str">
        <f t="shared" si="0"/>
        <v>WM+ PTO Khu 23 Vạn Xuân</v>
      </c>
      <c r="D93" s="10">
        <v>5891</v>
      </c>
      <c r="E93" s="9" t="s">
        <v>64</v>
      </c>
      <c r="F93" s="10">
        <v>72</v>
      </c>
      <c r="G93" s="10">
        <v>55375.46</v>
      </c>
      <c r="H93" s="10">
        <v>12.62</v>
      </c>
      <c r="I93" s="11">
        <v>21.284289999999999</v>
      </c>
      <c r="J93" s="12">
        <v>105.2576</v>
      </c>
      <c r="K93" s="13">
        <f t="shared" si="1"/>
        <v>0.17527777777777775</v>
      </c>
    </row>
    <row r="94" spans="1:11">
      <c r="A94" s="8" t="s">
        <v>102</v>
      </c>
      <c r="B94" s="9" t="s">
        <v>272</v>
      </c>
      <c r="C94" s="9" t="str">
        <f t="shared" si="0"/>
        <v>WM+ PTO Khu 12 Phú Hộ</v>
      </c>
      <c r="D94" s="10">
        <v>5918</v>
      </c>
      <c r="E94" s="9" t="s">
        <v>65</v>
      </c>
      <c r="F94" s="10">
        <v>72</v>
      </c>
      <c r="G94" s="10">
        <v>24267.74</v>
      </c>
      <c r="H94" s="10">
        <v>13.17</v>
      </c>
      <c r="I94" s="11">
        <v>21.439309999999999</v>
      </c>
      <c r="J94" s="12">
        <v>105.25530000000001</v>
      </c>
      <c r="K94" s="13">
        <f t="shared" si="1"/>
        <v>0.18291666666666667</v>
      </c>
    </row>
    <row r="95" spans="1:11">
      <c r="A95" s="8" t="s">
        <v>102</v>
      </c>
      <c r="B95" s="9" t="s">
        <v>273</v>
      </c>
      <c r="C95" s="9" t="str">
        <f t="shared" si="0"/>
        <v>WM+ PTO 191B Ba Mỏ</v>
      </c>
      <c r="D95" s="10">
        <v>6090</v>
      </c>
      <c r="E95" s="9" t="s">
        <v>69</v>
      </c>
      <c r="F95" s="10">
        <v>72</v>
      </c>
      <c r="G95" s="10">
        <v>15275.32</v>
      </c>
      <c r="H95" s="10">
        <v>10.33</v>
      </c>
      <c r="I95" s="11">
        <v>21.20316</v>
      </c>
      <c r="J95" s="12">
        <v>105.17959999999999</v>
      </c>
      <c r="K95" s="13">
        <f t="shared" si="1"/>
        <v>0.14347222222222222</v>
      </c>
    </row>
    <row r="96" spans="1:11">
      <c r="A96" s="8" t="s">
        <v>102</v>
      </c>
      <c r="B96" s="9" t="s">
        <v>274</v>
      </c>
      <c r="C96" s="9" t="str">
        <f t="shared" si="0"/>
        <v>WM+ PTO Khu Ngọc Chúc 3, Đoan Hùng</v>
      </c>
      <c r="D96" s="10">
        <v>6264</v>
      </c>
      <c r="E96" s="9" t="s">
        <v>78</v>
      </c>
      <c r="F96" s="10">
        <v>72</v>
      </c>
      <c r="G96" s="10">
        <v>34393.949999999997</v>
      </c>
      <c r="H96" s="10">
        <v>11.79</v>
      </c>
      <c r="I96" s="11">
        <v>21.647829999999999</v>
      </c>
      <c r="J96" s="12">
        <v>105.19110000000001</v>
      </c>
      <c r="K96" s="13">
        <f t="shared" si="1"/>
        <v>0.16374999999999998</v>
      </c>
    </row>
    <row r="97" spans="1:11">
      <c r="A97" s="8" t="s">
        <v>102</v>
      </c>
      <c r="B97" s="9" t="s">
        <v>275</v>
      </c>
      <c r="C97" s="9" t="str">
        <f t="shared" si="0"/>
        <v>WM+ PTO 425-427 Lạc Long Quân</v>
      </c>
      <c r="D97" s="10">
        <v>6281</v>
      </c>
      <c r="E97" s="9" t="s">
        <v>80</v>
      </c>
      <c r="F97" s="10">
        <v>72</v>
      </c>
      <c r="G97" s="10">
        <v>58184.53</v>
      </c>
      <c r="H97" s="10">
        <v>18.850000000000001</v>
      </c>
      <c r="I97" s="11">
        <v>21.56007</v>
      </c>
      <c r="J97" s="12">
        <v>105.0039</v>
      </c>
      <c r="K97" s="13">
        <f t="shared" si="1"/>
        <v>0.26180555555555557</v>
      </c>
    </row>
    <row r="98" spans="1:11">
      <c r="A98" s="8" t="s">
        <v>102</v>
      </c>
      <c r="B98" s="9" t="s">
        <v>276</v>
      </c>
      <c r="C98" s="9" t="str">
        <f t="shared" si="0"/>
        <v>WM+ PTO Hoa Khê, Cẩm Khê</v>
      </c>
      <c r="D98" s="10">
        <v>6291</v>
      </c>
      <c r="E98" s="9" t="s">
        <v>81</v>
      </c>
      <c r="F98" s="10">
        <v>72</v>
      </c>
      <c r="G98" s="10">
        <v>28362.07</v>
      </c>
      <c r="H98" s="10">
        <v>14.68</v>
      </c>
      <c r="I98" s="11">
        <v>21.422519999999999</v>
      </c>
      <c r="J98" s="12">
        <v>105.13290000000001</v>
      </c>
      <c r="K98" s="13">
        <f t="shared" si="1"/>
        <v>0.2038888888888889</v>
      </c>
    </row>
    <row r="99" spans="1:11">
      <c r="A99" s="8" t="s">
        <v>102</v>
      </c>
      <c r="B99" s="9" t="s">
        <v>277</v>
      </c>
      <c r="C99" s="9" t="str">
        <f t="shared" si="0"/>
        <v>WM+ PTO Bình Phú, Phù Ninh</v>
      </c>
      <c r="D99" s="10">
        <v>6750</v>
      </c>
      <c r="E99" s="9" t="s">
        <v>88</v>
      </c>
      <c r="F99" s="10">
        <v>72</v>
      </c>
      <c r="G99" s="10">
        <v>25145.24</v>
      </c>
      <c r="H99" s="10">
        <v>13.69</v>
      </c>
      <c r="I99" s="11">
        <v>21.40924</v>
      </c>
      <c r="J99" s="12">
        <v>105.37649999999999</v>
      </c>
      <c r="K99" s="13">
        <f t="shared" si="1"/>
        <v>0.19013888888888889</v>
      </c>
    </row>
    <row r="100" spans="1:11">
      <c r="A100" s="8" t="s">
        <v>102</v>
      </c>
      <c r="B100" s="9" t="s">
        <v>278</v>
      </c>
      <c r="C100" s="9" t="str">
        <f t="shared" si="0"/>
        <v>WM+ PTO Khu 15, Yển Khê</v>
      </c>
      <c r="D100" s="10" t="s">
        <v>279</v>
      </c>
      <c r="E100" s="9" t="s">
        <v>18</v>
      </c>
      <c r="F100" s="10">
        <v>73</v>
      </c>
      <c r="G100" s="10">
        <v>41513.43</v>
      </c>
      <c r="H100" s="10">
        <v>13.21</v>
      </c>
      <c r="I100" s="11">
        <v>21.49248</v>
      </c>
      <c r="J100" s="12">
        <v>105.1001</v>
      </c>
      <c r="K100" s="13">
        <f t="shared" si="1"/>
        <v>0.18095890410958906</v>
      </c>
    </row>
    <row r="101" spans="1:11" ht="14">
      <c r="A101" s="8" t="s">
        <v>102</v>
      </c>
      <c r="B101" s="9" t="s">
        <v>280</v>
      </c>
      <c r="C101" s="9" t="str">
        <f t="shared" si="0"/>
        <v>WM+ PTO Khu 6 Hương Xạ, Yên Kỳ</v>
      </c>
      <c r="D101" s="10" t="s">
        <v>281</v>
      </c>
      <c r="E101" s="9" t="s">
        <v>22</v>
      </c>
      <c r="F101" s="10">
        <v>73</v>
      </c>
      <c r="G101" s="10">
        <v>49796.7</v>
      </c>
      <c r="H101" s="10">
        <v>13.41</v>
      </c>
      <c r="I101" s="11">
        <v>21.55095</v>
      </c>
      <c r="J101" s="12">
        <v>105.0822</v>
      </c>
      <c r="K101" s="13">
        <f t="shared" si="1"/>
        <v>0.18369863013698631</v>
      </c>
    </row>
    <row r="102" spans="1:11">
      <c r="A102" s="8" t="s">
        <v>102</v>
      </c>
      <c r="B102" s="9" t="s">
        <v>282</v>
      </c>
      <c r="C102" s="9" t="str">
        <f t="shared" si="0"/>
        <v>WM+ PTO Minh Tân, Cẩm Khê</v>
      </c>
      <c r="D102" s="10">
        <v>6680</v>
      </c>
      <c r="E102" s="9" t="s">
        <v>58</v>
      </c>
      <c r="F102" s="10">
        <v>73</v>
      </c>
      <c r="G102" s="10">
        <v>32140.77</v>
      </c>
      <c r="H102" s="10">
        <v>13.47</v>
      </c>
      <c r="I102" s="11">
        <v>21.470189999999999</v>
      </c>
      <c r="J102" s="12">
        <v>105.0819</v>
      </c>
      <c r="K102" s="13">
        <f t="shared" si="1"/>
        <v>0.18452054794520548</v>
      </c>
    </row>
    <row r="103" spans="1:11">
      <c r="A103" s="8" t="s">
        <v>102</v>
      </c>
      <c r="B103" s="9" t="s">
        <v>283</v>
      </c>
      <c r="C103" s="9" t="str">
        <f t="shared" si="0"/>
        <v>WM+ PTO Khu Phố, Đoan Hùng</v>
      </c>
      <c r="D103" s="10" t="s">
        <v>284</v>
      </c>
      <c r="E103" s="9" t="s">
        <v>24</v>
      </c>
      <c r="F103" s="10">
        <v>74</v>
      </c>
      <c r="G103" s="10">
        <v>32186.39</v>
      </c>
      <c r="H103" s="10">
        <v>17.54</v>
      </c>
      <c r="I103" s="11">
        <v>21.63233</v>
      </c>
      <c r="J103" s="12">
        <v>105.1317</v>
      </c>
      <c r="K103" s="13">
        <f t="shared" si="1"/>
        <v>0.23702702702702702</v>
      </c>
    </row>
    <row r="104" spans="1:11">
      <c r="A104" s="8" t="s">
        <v>102</v>
      </c>
      <c r="B104" s="9" t="s">
        <v>285</v>
      </c>
      <c r="C104" s="9" t="str">
        <f t="shared" si="0"/>
        <v>WM+ PTO Núi Trang, Phù Ninh</v>
      </c>
      <c r="D104" s="10" t="s">
        <v>286</v>
      </c>
      <c r="E104" s="9" t="s">
        <v>43</v>
      </c>
      <c r="F104" s="10">
        <v>74</v>
      </c>
      <c r="G104" s="10">
        <v>20341.009999999998</v>
      </c>
      <c r="H104" s="10">
        <v>10.82</v>
      </c>
      <c r="I104" s="11">
        <v>21.403729999999999</v>
      </c>
      <c r="J104" s="12">
        <v>105.3177</v>
      </c>
      <c r="K104" s="13">
        <f t="shared" si="1"/>
        <v>0.14621621621621622</v>
      </c>
    </row>
    <row r="105" spans="1:11">
      <c r="A105" s="8" t="s">
        <v>102</v>
      </c>
      <c r="B105" s="9" t="s">
        <v>287</v>
      </c>
      <c r="C105" s="9" t="str">
        <f t="shared" si="0"/>
        <v>WM+ PTO Khu 21, Vạn Xuân</v>
      </c>
      <c r="D105" s="10" t="s">
        <v>288</v>
      </c>
      <c r="E105" s="9" t="s">
        <v>14</v>
      </c>
      <c r="F105" s="10">
        <v>74</v>
      </c>
      <c r="G105" s="10">
        <v>19095.22</v>
      </c>
      <c r="H105" s="10">
        <v>10.94</v>
      </c>
      <c r="I105" s="11">
        <v>21.29233</v>
      </c>
      <c r="J105" s="12">
        <v>105.2531</v>
      </c>
      <c r="K105" s="13">
        <f t="shared" si="1"/>
        <v>0.14783783783783783</v>
      </c>
    </row>
    <row r="106" spans="1:11" ht="14">
      <c r="A106" s="8" t="s">
        <v>102</v>
      </c>
      <c r="B106" s="9" t="s">
        <v>289</v>
      </c>
      <c r="C106" s="9" t="str">
        <f t="shared" si="0"/>
        <v>WM+ PTO Khu 8, Đông Thành</v>
      </c>
      <c r="D106" s="10" t="s">
        <v>290</v>
      </c>
      <c r="E106" s="9" t="s">
        <v>25</v>
      </c>
      <c r="F106" s="10">
        <v>74</v>
      </c>
      <c r="G106" s="10">
        <v>27974.71</v>
      </c>
      <c r="H106" s="10">
        <v>11.08</v>
      </c>
      <c r="I106" s="11">
        <v>21.43261</v>
      </c>
      <c r="J106" s="12">
        <v>105.1866</v>
      </c>
      <c r="K106" s="13">
        <f t="shared" si="1"/>
        <v>0.14972972972972973</v>
      </c>
    </row>
    <row r="107" spans="1:11">
      <c r="A107" s="8" t="s">
        <v>102</v>
      </c>
      <c r="B107" s="9" t="s">
        <v>291</v>
      </c>
      <c r="C107" s="9" t="str">
        <f t="shared" si="0"/>
        <v>WM+ PTO Nương Sơn, Vân Bán</v>
      </c>
      <c r="D107" s="10" t="s">
        <v>292</v>
      </c>
      <c r="E107" s="9" t="s">
        <v>9</v>
      </c>
      <c r="F107" s="10">
        <v>74</v>
      </c>
      <c r="G107" s="10">
        <v>34878.04</v>
      </c>
      <c r="H107" s="10">
        <v>14.56</v>
      </c>
      <c r="I107" s="11">
        <v>21.43357</v>
      </c>
      <c r="J107" s="12">
        <v>105.0545</v>
      </c>
      <c r="K107" s="13">
        <f t="shared" si="1"/>
        <v>0.19675675675675677</v>
      </c>
    </row>
    <row r="108" spans="1:11">
      <c r="A108" s="8" t="s">
        <v>102</v>
      </c>
      <c r="B108" s="9" t="s">
        <v>293</v>
      </c>
      <c r="C108" s="9" t="str">
        <f t="shared" si="0"/>
        <v>WM+ PTO Khu 4, Hoàng Cương</v>
      </c>
      <c r="D108" s="10" t="s">
        <v>294</v>
      </c>
      <c r="E108" s="9" t="s">
        <v>21</v>
      </c>
      <c r="F108" s="10">
        <v>74</v>
      </c>
      <c r="G108" s="10">
        <v>53949.53</v>
      </c>
      <c r="H108" s="10">
        <v>16.29</v>
      </c>
      <c r="I108" s="11">
        <v>21.47052</v>
      </c>
      <c r="J108" s="12">
        <v>105.1564</v>
      </c>
      <c r="K108" s="13">
        <f t="shared" si="1"/>
        <v>0.22013513513513513</v>
      </c>
    </row>
    <row r="109" spans="1:11">
      <c r="A109" s="8" t="s">
        <v>102</v>
      </c>
      <c r="B109" s="9" t="s">
        <v>295</v>
      </c>
      <c r="C109" s="9" t="str">
        <f t="shared" si="0"/>
        <v>WM+ PTO 75 Cao Bang</v>
      </c>
      <c r="D109" s="10">
        <v>5846</v>
      </c>
      <c r="E109" s="9" t="s">
        <v>63</v>
      </c>
      <c r="F109" s="10">
        <v>74</v>
      </c>
      <c r="G109" s="10">
        <v>14018.22</v>
      </c>
      <c r="H109" s="10">
        <v>8.92</v>
      </c>
      <c r="I109" s="11">
        <v>21.395399999999999</v>
      </c>
      <c r="J109" s="12">
        <v>105.21550000000001</v>
      </c>
      <c r="K109" s="13">
        <f t="shared" si="1"/>
        <v>0.12054054054054054</v>
      </c>
    </row>
    <row r="110" spans="1:11">
      <c r="A110" s="8" t="s">
        <v>102</v>
      </c>
      <c r="B110" s="9" t="s">
        <v>296</v>
      </c>
      <c r="C110" s="9" t="str">
        <f t="shared" si="0"/>
        <v>WM+ PTO 58 Hồ Thiên Hương</v>
      </c>
      <c r="D110" s="10">
        <v>6871</v>
      </c>
      <c r="E110" s="9" t="s">
        <v>59</v>
      </c>
      <c r="F110" s="10">
        <v>74</v>
      </c>
      <c r="G110" s="10">
        <v>39949.86</v>
      </c>
      <c r="H110" s="10">
        <v>12.78</v>
      </c>
      <c r="I110" s="11">
        <v>21.254259999999999</v>
      </c>
      <c r="J110" s="12">
        <v>105.2921</v>
      </c>
      <c r="K110" s="13">
        <f t="shared" si="1"/>
        <v>0.17270270270270269</v>
      </c>
    </row>
    <row r="111" spans="1:11">
      <c r="A111" s="8" t="s">
        <v>102</v>
      </c>
      <c r="B111" s="9" t="s">
        <v>297</v>
      </c>
      <c r="C111" s="9" t="str">
        <f t="shared" si="0"/>
        <v>WM+ PTO Khu 8 Thanh Ba</v>
      </c>
      <c r="D111" s="10">
        <v>5947</v>
      </c>
      <c r="E111" s="9" t="s">
        <v>298</v>
      </c>
      <c r="F111" s="10">
        <v>75</v>
      </c>
      <c r="G111" s="10">
        <v>46161.7</v>
      </c>
      <c r="H111" s="10">
        <v>11.81</v>
      </c>
      <c r="I111" s="11">
        <v>21.498940000000001</v>
      </c>
      <c r="J111" s="12">
        <v>105.1326</v>
      </c>
      <c r="K111" s="13">
        <f t="shared" si="1"/>
        <v>0.15746666666666667</v>
      </c>
    </row>
    <row r="112" spans="1:11">
      <c r="A112" s="8" t="s">
        <v>102</v>
      </c>
      <c r="B112" s="9" t="s">
        <v>299</v>
      </c>
      <c r="C112" s="9" t="str">
        <f t="shared" si="0"/>
        <v>WM+ PTO Tân An 4, Yên Lập</v>
      </c>
      <c r="D112" s="10">
        <v>6364</v>
      </c>
      <c r="E112" s="9" t="s">
        <v>83</v>
      </c>
      <c r="F112" s="10">
        <v>75</v>
      </c>
      <c r="G112" s="10">
        <v>36125.01</v>
      </c>
      <c r="H112" s="10">
        <v>14.64</v>
      </c>
      <c r="I112" s="11">
        <v>21.352029999999999</v>
      </c>
      <c r="J112" s="12">
        <v>105.0587</v>
      </c>
      <c r="K112" s="13">
        <f t="shared" si="1"/>
        <v>0.19520000000000001</v>
      </c>
    </row>
    <row r="113" spans="1:11">
      <c r="A113" s="8" t="s">
        <v>102</v>
      </c>
      <c r="B113" s="9" t="s">
        <v>300</v>
      </c>
      <c r="C113" s="9" t="str">
        <f t="shared" si="0"/>
        <v>WM+ PTO 235-235B TT Hùng Sơn</v>
      </c>
      <c r="D113" s="10">
        <v>6562</v>
      </c>
      <c r="E113" s="9" t="s">
        <v>87</v>
      </c>
      <c r="F113" s="10">
        <v>75</v>
      </c>
      <c r="G113" s="10">
        <v>56742.86</v>
      </c>
      <c r="H113" s="10">
        <v>15.34</v>
      </c>
      <c r="I113" s="11">
        <v>21.35566</v>
      </c>
      <c r="J113" s="12">
        <v>105.29349999999999</v>
      </c>
      <c r="K113" s="13">
        <f t="shared" si="1"/>
        <v>0.20453333333333334</v>
      </c>
    </row>
    <row r="114" spans="1:11">
      <c r="A114" s="8" t="s">
        <v>102</v>
      </c>
      <c r="B114" s="9" t="s">
        <v>301</v>
      </c>
      <c r="C114" s="9" t="str">
        <f t="shared" si="0"/>
        <v>WM+ PTO 574 Tân Tiến</v>
      </c>
      <c r="D114" s="10">
        <v>5943</v>
      </c>
      <c r="E114" s="9" t="s">
        <v>66</v>
      </c>
      <c r="F114" s="10">
        <v>76</v>
      </c>
      <c r="G114" s="10">
        <v>34287.26</v>
      </c>
      <c r="H114" s="10">
        <v>16.03</v>
      </c>
      <c r="I114" s="11">
        <v>21.62406</v>
      </c>
      <c r="J114" s="12">
        <v>105.18519999999999</v>
      </c>
      <c r="K114" s="13">
        <f t="shared" si="1"/>
        <v>0.21092105263157895</v>
      </c>
    </row>
    <row r="115" spans="1:11">
      <c r="A115" s="8" t="s">
        <v>102</v>
      </c>
      <c r="B115" s="9" t="s">
        <v>302</v>
      </c>
      <c r="C115" s="9" t="str">
        <f t="shared" si="0"/>
        <v>WM+ PTO Hùng Nhĩ, Thanh Sơn</v>
      </c>
      <c r="D115" s="10">
        <v>6240</v>
      </c>
      <c r="E115" s="9" t="s">
        <v>76</v>
      </c>
      <c r="F115" s="10">
        <v>76</v>
      </c>
      <c r="G115" s="10">
        <v>26275.71</v>
      </c>
      <c r="H115" s="10">
        <v>12.67</v>
      </c>
      <c r="I115" s="11">
        <v>21.22363</v>
      </c>
      <c r="J115" s="12">
        <v>105.1885</v>
      </c>
      <c r="K115" s="13">
        <f t="shared" si="1"/>
        <v>0.16671052631578948</v>
      </c>
    </row>
    <row r="116" spans="1:11">
      <c r="A116" s="8" t="s">
        <v>102</v>
      </c>
      <c r="B116" s="9" t="s">
        <v>303</v>
      </c>
      <c r="C116" s="9" t="str">
        <f t="shared" si="0"/>
        <v>WM+ PTO Phú Lộc, Phù Ninh</v>
      </c>
      <c r="D116" s="10">
        <v>6270</v>
      </c>
      <c r="E116" s="9" t="s">
        <v>79</v>
      </c>
      <c r="F116" s="10">
        <v>76</v>
      </c>
      <c r="G116" s="10">
        <v>32298.79</v>
      </c>
      <c r="H116" s="10">
        <v>15.16</v>
      </c>
      <c r="I116" s="11">
        <v>21.43084</v>
      </c>
      <c r="J116" s="12">
        <v>105.29259999999999</v>
      </c>
      <c r="K116" s="13">
        <f t="shared" si="1"/>
        <v>0.19947368421052633</v>
      </c>
    </row>
    <row r="117" spans="1:11" ht="15.75" customHeight="1">
      <c r="B117" s="15"/>
    </row>
    <row r="118" spans="1:11" ht="15.75" customHeight="1">
      <c r="B118" s="15"/>
    </row>
    <row r="119" spans="1:11" ht="15.75" customHeight="1">
      <c r="B119" s="15"/>
    </row>
    <row r="120" spans="1:11" ht="15.75" customHeight="1">
      <c r="B120" s="15"/>
    </row>
    <row r="121" spans="1:11" ht="15.75" customHeight="1">
      <c r="B121" s="15"/>
    </row>
    <row r="122" spans="1:11" ht="15.75" customHeight="1">
      <c r="B122" s="15"/>
    </row>
    <row r="123" spans="1:11" ht="15.75" customHeight="1">
      <c r="B123" s="15"/>
    </row>
    <row r="124" spans="1:11" ht="15.75" customHeight="1">
      <c r="B124" s="15"/>
    </row>
    <row r="125" spans="1:11" ht="15.75" customHeight="1">
      <c r="B125" s="15"/>
    </row>
    <row r="126" spans="1:11" ht="15.75" customHeight="1">
      <c r="B126" s="15"/>
    </row>
    <row r="127" spans="1:11" ht="15.75" customHeight="1">
      <c r="B127" s="15"/>
    </row>
    <row r="128" spans="1:11" ht="15.75" customHeight="1">
      <c r="B128" s="15"/>
    </row>
    <row r="129" spans="2:2" ht="15.75" customHeight="1">
      <c r="B129" s="15"/>
    </row>
    <row r="130" spans="2:2" ht="15.75" customHeight="1">
      <c r="B130" s="15"/>
    </row>
    <row r="131" spans="2:2" ht="15.75" customHeight="1">
      <c r="B131" s="15"/>
    </row>
    <row r="132" spans="2:2" ht="15.75" customHeight="1">
      <c r="B132" s="15"/>
    </row>
    <row r="133" spans="2:2" ht="15.75" customHeight="1">
      <c r="B133" s="15"/>
    </row>
    <row r="134" spans="2:2" ht="15.75" customHeight="1">
      <c r="B134" s="15"/>
    </row>
    <row r="135" spans="2:2" ht="15.75" customHeight="1">
      <c r="B135" s="15"/>
    </row>
    <row r="136" spans="2:2" ht="15.75" customHeight="1">
      <c r="B136" s="15"/>
    </row>
    <row r="137" spans="2:2" ht="15.75" customHeight="1">
      <c r="B137" s="15"/>
    </row>
    <row r="138" spans="2:2" ht="15.75" customHeight="1">
      <c r="B138" s="15"/>
    </row>
    <row r="139" spans="2:2" ht="15.75" customHeight="1">
      <c r="B139" s="15"/>
    </row>
    <row r="140" spans="2:2" ht="15.75" customHeight="1">
      <c r="B140" s="15"/>
    </row>
    <row r="141" spans="2:2" ht="15.75" customHeight="1">
      <c r="B141" s="15"/>
    </row>
    <row r="142" spans="2:2" ht="15.75" customHeight="1">
      <c r="B142" s="15"/>
    </row>
    <row r="143" spans="2:2" ht="15.75" customHeight="1">
      <c r="B143" s="15"/>
    </row>
    <row r="144" spans="2:2" ht="15.75" customHeight="1">
      <c r="B144" s="15"/>
    </row>
    <row r="145" spans="2:2" ht="15.75" customHeight="1">
      <c r="B145" s="15"/>
    </row>
    <row r="146" spans="2:2" ht="15.75" customHeight="1">
      <c r="B146" s="15"/>
    </row>
    <row r="147" spans="2:2" ht="15.75" customHeight="1">
      <c r="B147" s="15"/>
    </row>
    <row r="148" spans="2:2" ht="15.75" customHeight="1">
      <c r="B148" s="15"/>
    </row>
    <row r="149" spans="2:2" ht="15.75" customHeight="1">
      <c r="B149" s="15"/>
    </row>
    <row r="150" spans="2:2" ht="15.75" customHeight="1">
      <c r="B150" s="15"/>
    </row>
    <row r="151" spans="2:2" ht="15.75" customHeight="1">
      <c r="B151" s="15"/>
    </row>
    <row r="152" spans="2:2" ht="15.75" customHeight="1">
      <c r="B152" s="15"/>
    </row>
    <row r="153" spans="2:2" ht="15.75" customHeight="1">
      <c r="B153" s="15"/>
    </row>
    <row r="154" spans="2:2" ht="15.75" customHeight="1">
      <c r="B154" s="15"/>
    </row>
    <row r="155" spans="2:2" ht="15.75" customHeight="1">
      <c r="B155" s="15"/>
    </row>
    <row r="156" spans="2:2" ht="15.75" customHeight="1">
      <c r="B156" s="15"/>
    </row>
    <row r="157" spans="2:2" ht="15.75" customHeight="1">
      <c r="B157" s="15"/>
    </row>
    <row r="158" spans="2:2" ht="15.75" customHeight="1">
      <c r="B158" s="15"/>
    </row>
    <row r="159" spans="2:2" ht="15.75" customHeight="1">
      <c r="B159" s="15"/>
    </row>
    <row r="160" spans="2:2" ht="15.75" customHeight="1">
      <c r="B160" s="15"/>
    </row>
    <row r="161" spans="2:2" ht="15.75" customHeight="1">
      <c r="B161" s="15"/>
    </row>
    <row r="162" spans="2:2" ht="15.75" customHeight="1">
      <c r="B162" s="15"/>
    </row>
    <row r="163" spans="2:2" ht="15.75" customHeight="1">
      <c r="B163" s="15"/>
    </row>
    <row r="164" spans="2:2" ht="15.75" customHeight="1">
      <c r="B164" s="15"/>
    </row>
    <row r="165" spans="2:2" ht="15.75" customHeight="1">
      <c r="B165" s="15"/>
    </row>
    <row r="166" spans="2:2" ht="15.75" customHeight="1">
      <c r="B166" s="15"/>
    </row>
    <row r="167" spans="2:2" ht="15.75" customHeight="1">
      <c r="B167" s="15"/>
    </row>
    <row r="168" spans="2:2" ht="15.75" customHeight="1">
      <c r="B168" s="15"/>
    </row>
    <row r="169" spans="2:2" ht="15.75" customHeight="1">
      <c r="B169" s="15"/>
    </row>
    <row r="170" spans="2:2" ht="15.75" customHeight="1">
      <c r="B170" s="15"/>
    </row>
    <row r="171" spans="2:2" ht="15.75" customHeight="1">
      <c r="B171" s="15"/>
    </row>
    <row r="172" spans="2:2" ht="15.75" customHeight="1">
      <c r="B172" s="15"/>
    </row>
    <row r="173" spans="2:2" ht="15.75" customHeight="1">
      <c r="B173" s="15"/>
    </row>
    <row r="174" spans="2:2" ht="15.75" customHeight="1">
      <c r="B174" s="15"/>
    </row>
    <row r="175" spans="2:2" ht="15.75" customHeight="1">
      <c r="B175" s="15"/>
    </row>
    <row r="176" spans="2:2" ht="15.75" customHeight="1">
      <c r="B176" s="15"/>
    </row>
    <row r="177" spans="2:2" ht="15.75" customHeight="1">
      <c r="B177" s="15"/>
    </row>
    <row r="178" spans="2:2" ht="15.75" customHeight="1">
      <c r="B178" s="15"/>
    </row>
    <row r="179" spans="2:2" ht="15.75" customHeight="1">
      <c r="B179" s="15"/>
    </row>
    <row r="180" spans="2:2" ht="15.75" customHeight="1">
      <c r="B180" s="15"/>
    </row>
    <row r="181" spans="2:2" ht="15.75" customHeight="1">
      <c r="B181" s="15"/>
    </row>
    <row r="182" spans="2:2" ht="15.75" customHeight="1">
      <c r="B182" s="15"/>
    </row>
    <row r="183" spans="2:2" ht="15.75" customHeight="1">
      <c r="B183" s="15"/>
    </row>
    <row r="184" spans="2:2" ht="15.75" customHeight="1">
      <c r="B184" s="15"/>
    </row>
    <row r="185" spans="2:2" ht="15.75" customHeight="1">
      <c r="B185" s="15"/>
    </row>
    <row r="186" spans="2:2" ht="15.75" customHeight="1">
      <c r="B186" s="15"/>
    </row>
    <row r="187" spans="2:2" ht="15.75" customHeight="1">
      <c r="B187" s="15"/>
    </row>
    <row r="188" spans="2:2" ht="15.75" customHeight="1">
      <c r="B188" s="15"/>
    </row>
    <row r="189" spans="2:2" ht="15.75" customHeight="1">
      <c r="B189" s="15"/>
    </row>
    <row r="190" spans="2:2" ht="15.75" customHeight="1">
      <c r="B190" s="15"/>
    </row>
    <row r="191" spans="2:2" ht="15.75" customHeight="1">
      <c r="B191" s="15"/>
    </row>
    <row r="192" spans="2:2" ht="15.75" customHeight="1">
      <c r="B192" s="15"/>
    </row>
    <row r="193" spans="2:2" ht="15.75" customHeight="1">
      <c r="B193" s="15"/>
    </row>
    <row r="194" spans="2:2" ht="15.75" customHeight="1">
      <c r="B194" s="15"/>
    </row>
    <row r="195" spans="2:2" ht="15.75" customHeight="1">
      <c r="B195" s="15"/>
    </row>
    <row r="196" spans="2:2" ht="15.75" customHeight="1">
      <c r="B196" s="15"/>
    </row>
    <row r="197" spans="2:2" ht="15.75" customHeight="1">
      <c r="B197" s="15"/>
    </row>
    <row r="198" spans="2:2" ht="15.75" customHeight="1">
      <c r="B198" s="15"/>
    </row>
    <row r="199" spans="2:2" ht="15.75" customHeight="1">
      <c r="B199" s="15"/>
    </row>
    <row r="200" spans="2:2" ht="15.75" customHeight="1">
      <c r="B200" s="15"/>
    </row>
    <row r="201" spans="2:2" ht="15.75" customHeight="1">
      <c r="B201" s="15"/>
    </row>
    <row r="202" spans="2:2" ht="15.75" customHeight="1">
      <c r="B202" s="15"/>
    </row>
    <row r="203" spans="2:2" ht="15.75" customHeight="1">
      <c r="B203" s="15"/>
    </row>
    <row r="204" spans="2:2" ht="15.75" customHeight="1">
      <c r="B204" s="15"/>
    </row>
    <row r="205" spans="2:2" ht="15.75" customHeight="1">
      <c r="B205" s="15"/>
    </row>
    <row r="206" spans="2:2" ht="15.75" customHeight="1">
      <c r="B206" s="15"/>
    </row>
    <row r="207" spans="2:2" ht="15.75" customHeight="1">
      <c r="B207" s="15"/>
    </row>
    <row r="208" spans="2:2" ht="15.75" customHeight="1">
      <c r="B208" s="15"/>
    </row>
    <row r="209" spans="2:2" ht="15.75" customHeight="1">
      <c r="B209" s="15"/>
    </row>
    <row r="210" spans="2:2" ht="15.75" customHeight="1">
      <c r="B210" s="15"/>
    </row>
    <row r="211" spans="2:2" ht="15.75" customHeight="1">
      <c r="B211" s="15"/>
    </row>
    <row r="212" spans="2:2" ht="15.75" customHeight="1">
      <c r="B212" s="15"/>
    </row>
    <row r="213" spans="2:2" ht="15.75" customHeight="1">
      <c r="B213" s="15"/>
    </row>
    <row r="214" spans="2:2" ht="15.75" customHeight="1">
      <c r="B214" s="15"/>
    </row>
    <row r="215" spans="2:2" ht="15.75" customHeight="1">
      <c r="B215" s="15"/>
    </row>
    <row r="216" spans="2:2" ht="15.75" customHeight="1">
      <c r="B216" s="15"/>
    </row>
    <row r="217" spans="2:2" ht="15.75" customHeight="1">
      <c r="B217" s="15"/>
    </row>
    <row r="218" spans="2:2" ht="15.75" customHeight="1">
      <c r="B218" s="15"/>
    </row>
    <row r="219" spans="2:2" ht="15.75" customHeight="1">
      <c r="B219" s="15"/>
    </row>
    <row r="220" spans="2:2" ht="15.75" customHeight="1">
      <c r="B220" s="15"/>
    </row>
    <row r="221" spans="2:2" ht="15.75" customHeight="1">
      <c r="B221" s="15"/>
    </row>
    <row r="222" spans="2:2" ht="15.75" customHeight="1">
      <c r="B222" s="15"/>
    </row>
    <row r="223" spans="2:2" ht="15.75" customHeight="1">
      <c r="B223" s="15"/>
    </row>
    <row r="224" spans="2:2" ht="15.75" customHeight="1">
      <c r="B224" s="15"/>
    </row>
    <row r="225" spans="2:2" ht="15.75" customHeight="1">
      <c r="B225" s="15"/>
    </row>
    <row r="226" spans="2:2" ht="15.75" customHeight="1">
      <c r="B226" s="15"/>
    </row>
    <row r="227" spans="2:2" ht="15.75" customHeight="1">
      <c r="B227" s="15"/>
    </row>
    <row r="228" spans="2:2" ht="15.75" customHeight="1">
      <c r="B228" s="15"/>
    </row>
    <row r="229" spans="2:2" ht="15.75" customHeight="1">
      <c r="B229" s="15"/>
    </row>
    <row r="230" spans="2:2" ht="15.75" customHeight="1">
      <c r="B230" s="15"/>
    </row>
    <row r="231" spans="2:2" ht="15.75" customHeight="1">
      <c r="B231" s="15"/>
    </row>
    <row r="232" spans="2:2" ht="15.75" customHeight="1">
      <c r="B232" s="15"/>
    </row>
    <row r="233" spans="2:2" ht="15.75" customHeight="1">
      <c r="B233" s="15"/>
    </row>
    <row r="234" spans="2:2" ht="15.75" customHeight="1">
      <c r="B234" s="15"/>
    </row>
    <row r="235" spans="2:2" ht="15.75" customHeight="1">
      <c r="B235" s="15"/>
    </row>
    <row r="236" spans="2:2" ht="15.75" customHeight="1">
      <c r="B236" s="15"/>
    </row>
    <row r="237" spans="2:2" ht="15.75" customHeight="1">
      <c r="B237" s="15"/>
    </row>
    <row r="238" spans="2:2" ht="15.75" customHeight="1">
      <c r="B238" s="15"/>
    </row>
    <row r="239" spans="2:2" ht="15.75" customHeight="1">
      <c r="B239" s="15"/>
    </row>
    <row r="240" spans="2:2" ht="15.75" customHeight="1">
      <c r="B240" s="15"/>
    </row>
    <row r="241" spans="2:2" ht="15.75" customHeight="1">
      <c r="B241" s="15"/>
    </row>
    <row r="242" spans="2:2" ht="15.75" customHeight="1">
      <c r="B242" s="15"/>
    </row>
    <row r="243" spans="2:2" ht="15.75" customHeight="1">
      <c r="B243" s="15"/>
    </row>
    <row r="244" spans="2:2" ht="15.75" customHeight="1">
      <c r="B244" s="15"/>
    </row>
    <row r="245" spans="2:2" ht="15.75" customHeight="1">
      <c r="B245" s="15"/>
    </row>
    <row r="246" spans="2:2" ht="15.75" customHeight="1">
      <c r="B246" s="15"/>
    </row>
    <row r="247" spans="2:2" ht="15.75" customHeight="1">
      <c r="B247" s="15"/>
    </row>
    <row r="248" spans="2:2" ht="15.75" customHeight="1">
      <c r="B248" s="15"/>
    </row>
    <row r="249" spans="2:2" ht="15.75" customHeight="1">
      <c r="B249" s="15"/>
    </row>
    <row r="250" spans="2:2" ht="15.75" customHeight="1">
      <c r="B250" s="15"/>
    </row>
    <row r="251" spans="2:2" ht="15.75" customHeight="1">
      <c r="B251" s="15"/>
    </row>
    <row r="252" spans="2:2" ht="15.75" customHeight="1">
      <c r="B252" s="15"/>
    </row>
    <row r="253" spans="2:2" ht="15.75" customHeight="1">
      <c r="B253" s="15"/>
    </row>
    <row r="254" spans="2:2" ht="15.75" customHeight="1">
      <c r="B254" s="15"/>
    </row>
    <row r="255" spans="2:2" ht="15.75" customHeight="1">
      <c r="B255" s="15"/>
    </row>
    <row r="256" spans="2:2" ht="15.75" customHeight="1">
      <c r="B256" s="15"/>
    </row>
    <row r="257" spans="2:2" ht="15.75" customHeight="1">
      <c r="B257" s="15"/>
    </row>
    <row r="258" spans="2:2" ht="15.75" customHeight="1">
      <c r="B258" s="15"/>
    </row>
    <row r="259" spans="2:2" ht="15.75" customHeight="1">
      <c r="B259" s="15"/>
    </row>
    <row r="260" spans="2:2" ht="15.75" customHeight="1">
      <c r="B260" s="15"/>
    </row>
    <row r="261" spans="2:2" ht="15.75" customHeight="1">
      <c r="B261" s="15"/>
    </row>
    <row r="262" spans="2:2" ht="15.75" customHeight="1">
      <c r="B262" s="15"/>
    </row>
    <row r="263" spans="2:2" ht="15.75" customHeight="1">
      <c r="B263" s="15"/>
    </row>
    <row r="264" spans="2:2" ht="15.75" customHeight="1">
      <c r="B264" s="15"/>
    </row>
    <row r="265" spans="2:2" ht="15.75" customHeight="1">
      <c r="B265" s="15"/>
    </row>
    <row r="266" spans="2:2" ht="15.75" customHeight="1">
      <c r="B266" s="15"/>
    </row>
    <row r="267" spans="2:2" ht="15.75" customHeight="1">
      <c r="B267" s="15"/>
    </row>
    <row r="268" spans="2:2" ht="15.75" customHeight="1">
      <c r="B268" s="15"/>
    </row>
    <row r="269" spans="2:2" ht="15.75" customHeight="1">
      <c r="B269" s="15"/>
    </row>
    <row r="270" spans="2:2" ht="15.75" customHeight="1">
      <c r="B270" s="15"/>
    </row>
    <row r="271" spans="2:2" ht="15.75" customHeight="1">
      <c r="B271" s="15"/>
    </row>
    <row r="272" spans="2:2" ht="15.75" customHeight="1">
      <c r="B272" s="15"/>
    </row>
    <row r="273" spans="2:2" ht="15.75" customHeight="1">
      <c r="B273" s="15"/>
    </row>
    <row r="274" spans="2:2" ht="15.75" customHeight="1">
      <c r="B274" s="15"/>
    </row>
    <row r="275" spans="2:2" ht="15.75" customHeight="1">
      <c r="B275" s="15"/>
    </row>
    <row r="276" spans="2:2" ht="15.75" customHeight="1">
      <c r="B276" s="15"/>
    </row>
    <row r="277" spans="2:2" ht="15.75" customHeight="1">
      <c r="B277" s="15"/>
    </row>
    <row r="278" spans="2:2" ht="15.75" customHeight="1">
      <c r="B278" s="15"/>
    </row>
    <row r="279" spans="2:2" ht="15.75" customHeight="1">
      <c r="B279" s="15"/>
    </row>
    <row r="280" spans="2:2" ht="15.75" customHeight="1">
      <c r="B280" s="15"/>
    </row>
    <row r="281" spans="2:2" ht="15.75" customHeight="1">
      <c r="B281" s="15"/>
    </row>
    <row r="282" spans="2:2" ht="15.75" customHeight="1">
      <c r="B282" s="15"/>
    </row>
    <row r="283" spans="2:2" ht="15.75" customHeight="1">
      <c r="B283" s="15"/>
    </row>
    <row r="284" spans="2:2" ht="15.75" customHeight="1">
      <c r="B284" s="15"/>
    </row>
    <row r="285" spans="2:2" ht="15.75" customHeight="1">
      <c r="B285" s="15"/>
    </row>
    <row r="286" spans="2:2" ht="15.75" customHeight="1">
      <c r="B286" s="15"/>
    </row>
    <row r="287" spans="2:2" ht="15.75" customHeight="1">
      <c r="B287" s="15"/>
    </row>
    <row r="288" spans="2:2" ht="15.75" customHeight="1">
      <c r="B288" s="15"/>
    </row>
    <row r="289" spans="2:2" ht="15.75" customHeight="1">
      <c r="B289" s="15"/>
    </row>
    <row r="290" spans="2:2" ht="15.75" customHeight="1">
      <c r="B290" s="15"/>
    </row>
    <row r="291" spans="2:2" ht="15.75" customHeight="1">
      <c r="B291" s="15"/>
    </row>
    <row r="292" spans="2:2" ht="15.75" customHeight="1">
      <c r="B292" s="15"/>
    </row>
    <row r="293" spans="2:2" ht="15.75" customHeight="1">
      <c r="B293" s="15"/>
    </row>
    <row r="294" spans="2:2" ht="15.75" customHeight="1">
      <c r="B294" s="15"/>
    </row>
    <row r="295" spans="2:2" ht="15.75" customHeight="1">
      <c r="B295" s="15"/>
    </row>
    <row r="296" spans="2:2" ht="15.75" customHeight="1">
      <c r="B296" s="15"/>
    </row>
    <row r="297" spans="2:2" ht="15.75" customHeight="1">
      <c r="B297" s="15"/>
    </row>
    <row r="298" spans="2:2" ht="15.75" customHeight="1">
      <c r="B298" s="15"/>
    </row>
    <row r="299" spans="2:2" ht="15.75" customHeight="1">
      <c r="B299" s="15"/>
    </row>
    <row r="300" spans="2:2" ht="15.75" customHeight="1">
      <c r="B300" s="15"/>
    </row>
    <row r="301" spans="2:2" ht="15.75" customHeight="1">
      <c r="B301" s="15"/>
    </row>
    <row r="302" spans="2:2" ht="15.75" customHeight="1">
      <c r="B302" s="15"/>
    </row>
    <row r="303" spans="2:2" ht="15.75" customHeight="1">
      <c r="B303" s="15"/>
    </row>
    <row r="304" spans="2:2" ht="15.75" customHeight="1">
      <c r="B304" s="15"/>
    </row>
    <row r="305" spans="2:2" ht="15.75" customHeight="1">
      <c r="B305" s="15"/>
    </row>
    <row r="306" spans="2:2" ht="15.75" customHeight="1">
      <c r="B306" s="15"/>
    </row>
    <row r="307" spans="2:2" ht="15.75" customHeight="1">
      <c r="B307" s="15"/>
    </row>
    <row r="308" spans="2:2" ht="15.75" customHeight="1">
      <c r="B308" s="15"/>
    </row>
    <row r="309" spans="2:2" ht="15.75" customHeight="1">
      <c r="B309" s="15"/>
    </row>
    <row r="310" spans="2:2" ht="15.75" customHeight="1">
      <c r="B310" s="15"/>
    </row>
    <row r="311" spans="2:2" ht="15.75" customHeight="1">
      <c r="B311" s="15"/>
    </row>
    <row r="312" spans="2:2" ht="15.75" customHeight="1">
      <c r="B312" s="15"/>
    </row>
    <row r="313" spans="2:2" ht="15.75" customHeight="1">
      <c r="B313" s="15"/>
    </row>
    <row r="314" spans="2:2" ht="15.75" customHeight="1">
      <c r="B314" s="15"/>
    </row>
    <row r="315" spans="2:2" ht="15.75" customHeight="1">
      <c r="B315" s="15"/>
    </row>
    <row r="316" spans="2:2" ht="15.75" customHeight="1">
      <c r="B316" s="15"/>
    </row>
    <row r="317" spans="2:2" ht="15.75" customHeight="1">
      <c r="B317" s="15"/>
    </row>
    <row r="318" spans="2:2" ht="15.75" customHeight="1">
      <c r="B318" s="15"/>
    </row>
    <row r="319" spans="2:2" ht="15.75" customHeight="1">
      <c r="B319" s="15"/>
    </row>
    <row r="320" spans="2:2" ht="15.75" customHeight="1">
      <c r="B320" s="15"/>
    </row>
    <row r="321" spans="2:2" ht="15.75" customHeight="1">
      <c r="B321" s="15"/>
    </row>
    <row r="322" spans="2:2" ht="15.75" customHeight="1">
      <c r="B322" s="15"/>
    </row>
    <row r="323" spans="2:2" ht="15.75" customHeight="1">
      <c r="B323" s="15"/>
    </row>
    <row r="324" spans="2:2" ht="15.75" customHeight="1">
      <c r="B324" s="15"/>
    </row>
    <row r="325" spans="2:2" ht="15.75" customHeight="1">
      <c r="B325" s="15"/>
    </row>
    <row r="326" spans="2:2" ht="15.75" customHeight="1">
      <c r="B326" s="15"/>
    </row>
    <row r="327" spans="2:2" ht="15.75" customHeight="1">
      <c r="B327" s="15"/>
    </row>
    <row r="328" spans="2:2" ht="15.75" customHeight="1">
      <c r="B328" s="15"/>
    </row>
    <row r="329" spans="2:2" ht="15.75" customHeight="1">
      <c r="B329" s="15"/>
    </row>
    <row r="330" spans="2:2" ht="15.75" customHeight="1">
      <c r="B330" s="15"/>
    </row>
    <row r="331" spans="2:2" ht="15.75" customHeight="1">
      <c r="B331" s="15"/>
    </row>
    <row r="332" spans="2:2" ht="15.75" customHeight="1">
      <c r="B332" s="15"/>
    </row>
    <row r="333" spans="2:2" ht="15.75" customHeight="1">
      <c r="B333" s="15"/>
    </row>
    <row r="334" spans="2:2" ht="15.75" customHeight="1">
      <c r="B334" s="15"/>
    </row>
    <row r="335" spans="2:2" ht="15.75" customHeight="1">
      <c r="B335" s="15"/>
    </row>
    <row r="336" spans="2:2" ht="15.75" customHeight="1">
      <c r="B336" s="15"/>
    </row>
    <row r="337" spans="2:2" ht="15.75" customHeight="1">
      <c r="B337" s="15"/>
    </row>
    <row r="338" spans="2:2" ht="15.75" customHeight="1">
      <c r="B338" s="15"/>
    </row>
    <row r="339" spans="2:2" ht="15.75" customHeight="1">
      <c r="B339" s="15"/>
    </row>
    <row r="340" spans="2:2" ht="15.75" customHeight="1">
      <c r="B340" s="15"/>
    </row>
    <row r="341" spans="2:2" ht="15.75" customHeight="1">
      <c r="B341" s="15"/>
    </row>
    <row r="342" spans="2:2" ht="15.75" customHeight="1">
      <c r="B342" s="15"/>
    </row>
    <row r="343" spans="2:2" ht="15.75" customHeight="1">
      <c r="B343" s="15"/>
    </row>
    <row r="344" spans="2:2" ht="15.75" customHeight="1">
      <c r="B344" s="15"/>
    </row>
    <row r="345" spans="2:2" ht="15.75" customHeight="1">
      <c r="B345" s="15"/>
    </row>
    <row r="346" spans="2:2" ht="15.75" customHeight="1">
      <c r="B346" s="15"/>
    </row>
    <row r="347" spans="2:2" ht="15.75" customHeight="1">
      <c r="B347" s="15"/>
    </row>
    <row r="348" spans="2:2" ht="15.75" customHeight="1">
      <c r="B348" s="15"/>
    </row>
    <row r="349" spans="2:2" ht="15.75" customHeight="1">
      <c r="B349" s="15"/>
    </row>
    <row r="350" spans="2:2" ht="15.75" customHeight="1">
      <c r="B350" s="15"/>
    </row>
    <row r="351" spans="2:2" ht="15.75" customHeight="1">
      <c r="B351" s="15"/>
    </row>
    <row r="352" spans="2:2" ht="15.75" customHeight="1">
      <c r="B352" s="15"/>
    </row>
    <row r="353" spans="2:2" ht="15.75" customHeight="1">
      <c r="B353" s="15"/>
    </row>
    <row r="354" spans="2:2" ht="15.75" customHeight="1">
      <c r="B354" s="15"/>
    </row>
    <row r="355" spans="2:2" ht="15.75" customHeight="1">
      <c r="B355" s="15"/>
    </row>
    <row r="356" spans="2:2" ht="15.75" customHeight="1">
      <c r="B356" s="15"/>
    </row>
    <row r="357" spans="2:2" ht="15.75" customHeight="1">
      <c r="B357" s="15"/>
    </row>
    <row r="358" spans="2:2" ht="15.75" customHeight="1">
      <c r="B358" s="15"/>
    </row>
    <row r="359" spans="2:2" ht="15.75" customHeight="1">
      <c r="B359" s="15"/>
    </row>
    <row r="360" spans="2:2" ht="15.75" customHeight="1">
      <c r="B360" s="15"/>
    </row>
    <row r="361" spans="2:2" ht="15.75" customHeight="1">
      <c r="B361" s="15"/>
    </row>
    <row r="362" spans="2:2" ht="15.75" customHeight="1">
      <c r="B362" s="15"/>
    </row>
    <row r="363" spans="2:2" ht="15.75" customHeight="1">
      <c r="B363" s="15"/>
    </row>
    <row r="364" spans="2:2" ht="15.75" customHeight="1">
      <c r="B364" s="15"/>
    </row>
    <row r="365" spans="2:2" ht="15.75" customHeight="1">
      <c r="B365" s="15"/>
    </row>
    <row r="366" spans="2:2" ht="15.75" customHeight="1">
      <c r="B366" s="15"/>
    </row>
    <row r="367" spans="2:2" ht="15.75" customHeight="1">
      <c r="B367" s="15"/>
    </row>
    <row r="368" spans="2:2" ht="15.75" customHeight="1">
      <c r="B368" s="15"/>
    </row>
    <row r="369" spans="2:2" ht="15.75" customHeight="1">
      <c r="B369" s="15"/>
    </row>
    <row r="370" spans="2:2" ht="15.75" customHeight="1">
      <c r="B370" s="15"/>
    </row>
    <row r="371" spans="2:2" ht="15.75" customHeight="1">
      <c r="B371" s="15"/>
    </row>
    <row r="372" spans="2:2" ht="15.75" customHeight="1">
      <c r="B372" s="15"/>
    </row>
    <row r="373" spans="2:2" ht="15.75" customHeight="1">
      <c r="B373" s="15"/>
    </row>
    <row r="374" spans="2:2" ht="15.75" customHeight="1">
      <c r="B374" s="15"/>
    </row>
    <row r="375" spans="2:2" ht="15.75" customHeight="1">
      <c r="B375" s="15"/>
    </row>
    <row r="376" spans="2:2" ht="15.75" customHeight="1">
      <c r="B376" s="15"/>
    </row>
    <row r="377" spans="2:2" ht="15.75" customHeight="1">
      <c r="B377" s="15"/>
    </row>
    <row r="378" spans="2:2" ht="15.75" customHeight="1">
      <c r="B378" s="15"/>
    </row>
    <row r="379" spans="2:2" ht="15.75" customHeight="1">
      <c r="B379" s="15"/>
    </row>
    <row r="380" spans="2:2" ht="15.75" customHeight="1">
      <c r="B380" s="15"/>
    </row>
    <row r="381" spans="2:2" ht="15.75" customHeight="1">
      <c r="B381" s="15"/>
    </row>
    <row r="382" spans="2:2" ht="15.75" customHeight="1">
      <c r="B382" s="15"/>
    </row>
    <row r="383" spans="2:2" ht="15.75" customHeight="1">
      <c r="B383" s="15"/>
    </row>
    <row r="384" spans="2:2" ht="15.75" customHeight="1">
      <c r="B384" s="15"/>
    </row>
    <row r="385" spans="2:2" ht="15.75" customHeight="1">
      <c r="B385" s="15"/>
    </row>
    <row r="386" spans="2:2" ht="15.75" customHeight="1">
      <c r="B386" s="15"/>
    </row>
    <row r="387" spans="2:2" ht="15.75" customHeight="1">
      <c r="B387" s="15"/>
    </row>
    <row r="388" spans="2:2" ht="15.75" customHeight="1">
      <c r="B388" s="15"/>
    </row>
    <row r="389" spans="2:2" ht="15.75" customHeight="1">
      <c r="B389" s="15"/>
    </row>
    <row r="390" spans="2:2" ht="15.75" customHeight="1">
      <c r="B390" s="15"/>
    </row>
    <row r="391" spans="2:2" ht="15.75" customHeight="1">
      <c r="B391" s="15"/>
    </row>
    <row r="392" spans="2:2" ht="15.75" customHeight="1">
      <c r="B392" s="15"/>
    </row>
    <row r="393" spans="2:2" ht="15.75" customHeight="1">
      <c r="B393" s="15"/>
    </row>
    <row r="394" spans="2:2" ht="15.75" customHeight="1">
      <c r="B394" s="15"/>
    </row>
    <row r="395" spans="2:2" ht="15.75" customHeight="1">
      <c r="B395" s="15"/>
    </row>
    <row r="396" spans="2:2" ht="15.75" customHeight="1">
      <c r="B396" s="15"/>
    </row>
    <row r="397" spans="2:2" ht="15.75" customHeight="1">
      <c r="B397" s="15"/>
    </row>
    <row r="398" spans="2:2" ht="15.75" customHeight="1">
      <c r="B398" s="15"/>
    </row>
    <row r="399" spans="2:2" ht="15.75" customHeight="1">
      <c r="B399" s="15"/>
    </row>
    <row r="400" spans="2:2" ht="15.75" customHeight="1">
      <c r="B400" s="15"/>
    </row>
    <row r="401" spans="2:2" ht="15.75" customHeight="1">
      <c r="B401" s="15"/>
    </row>
    <row r="402" spans="2:2" ht="15.75" customHeight="1">
      <c r="B402" s="15"/>
    </row>
    <row r="403" spans="2:2" ht="15.75" customHeight="1">
      <c r="B403" s="15"/>
    </row>
    <row r="404" spans="2:2" ht="15.75" customHeight="1">
      <c r="B404" s="15"/>
    </row>
    <row r="405" spans="2:2" ht="15.75" customHeight="1">
      <c r="B405" s="15"/>
    </row>
    <row r="406" spans="2:2" ht="15.75" customHeight="1">
      <c r="B406" s="15"/>
    </row>
    <row r="407" spans="2:2" ht="15.75" customHeight="1">
      <c r="B407" s="15"/>
    </row>
    <row r="408" spans="2:2" ht="15.75" customHeight="1">
      <c r="B408" s="15"/>
    </row>
    <row r="409" spans="2:2" ht="15.75" customHeight="1">
      <c r="B409" s="15"/>
    </row>
    <row r="410" spans="2:2" ht="15.75" customHeight="1">
      <c r="B410" s="15"/>
    </row>
    <row r="411" spans="2:2" ht="15.75" customHeight="1">
      <c r="B411" s="15"/>
    </row>
    <row r="412" spans="2:2" ht="15.75" customHeight="1">
      <c r="B412" s="15"/>
    </row>
    <row r="413" spans="2:2" ht="15.75" customHeight="1">
      <c r="B413" s="15"/>
    </row>
    <row r="414" spans="2:2" ht="15.75" customHeight="1">
      <c r="B414" s="15"/>
    </row>
    <row r="415" spans="2:2" ht="15.75" customHeight="1">
      <c r="B415" s="15"/>
    </row>
    <row r="416" spans="2:2" ht="15.75" customHeight="1">
      <c r="B416" s="15"/>
    </row>
    <row r="417" spans="2:2" ht="15.75" customHeight="1">
      <c r="B417" s="15"/>
    </row>
    <row r="418" spans="2:2" ht="15.75" customHeight="1">
      <c r="B418" s="15"/>
    </row>
    <row r="419" spans="2:2" ht="15.75" customHeight="1">
      <c r="B419" s="15"/>
    </row>
    <row r="420" spans="2:2" ht="15.75" customHeight="1">
      <c r="B420" s="15"/>
    </row>
    <row r="421" spans="2:2" ht="15.75" customHeight="1">
      <c r="B421" s="15"/>
    </row>
    <row r="422" spans="2:2" ht="15.75" customHeight="1">
      <c r="B422" s="15"/>
    </row>
    <row r="423" spans="2:2" ht="15.75" customHeight="1">
      <c r="B423" s="15"/>
    </row>
    <row r="424" spans="2:2" ht="15.75" customHeight="1">
      <c r="B424" s="15"/>
    </row>
    <row r="425" spans="2:2" ht="15.75" customHeight="1">
      <c r="B425" s="15"/>
    </row>
    <row r="426" spans="2:2" ht="15.75" customHeight="1">
      <c r="B426" s="15"/>
    </row>
    <row r="427" spans="2:2" ht="15.75" customHeight="1">
      <c r="B427" s="15"/>
    </row>
    <row r="428" spans="2:2" ht="15.75" customHeight="1">
      <c r="B428" s="15"/>
    </row>
    <row r="429" spans="2:2" ht="15.75" customHeight="1">
      <c r="B429" s="15"/>
    </row>
    <row r="430" spans="2:2" ht="15.75" customHeight="1">
      <c r="B430" s="15"/>
    </row>
    <row r="431" spans="2:2" ht="15.75" customHeight="1">
      <c r="B431" s="15"/>
    </row>
    <row r="432" spans="2:2" ht="15.75" customHeight="1">
      <c r="B432" s="15"/>
    </row>
    <row r="433" spans="2:2" ht="15.75" customHeight="1">
      <c r="B433" s="15"/>
    </row>
    <row r="434" spans="2:2" ht="15.75" customHeight="1">
      <c r="B434" s="15"/>
    </row>
    <row r="435" spans="2:2" ht="15.75" customHeight="1">
      <c r="B435" s="15"/>
    </row>
    <row r="436" spans="2:2" ht="15.75" customHeight="1">
      <c r="B436" s="15"/>
    </row>
    <row r="437" spans="2:2" ht="15.75" customHeight="1">
      <c r="B437" s="15"/>
    </row>
    <row r="438" spans="2:2" ht="15.75" customHeight="1">
      <c r="B438" s="15"/>
    </row>
    <row r="439" spans="2:2" ht="15.75" customHeight="1">
      <c r="B439" s="15"/>
    </row>
    <row r="440" spans="2:2" ht="15.75" customHeight="1">
      <c r="B440" s="15"/>
    </row>
    <row r="441" spans="2:2" ht="15.75" customHeight="1">
      <c r="B441" s="15"/>
    </row>
    <row r="442" spans="2:2" ht="15.75" customHeight="1">
      <c r="B442" s="15"/>
    </row>
    <row r="443" spans="2:2" ht="15.75" customHeight="1">
      <c r="B443" s="15"/>
    </row>
    <row r="444" spans="2:2" ht="15.75" customHeight="1">
      <c r="B444" s="15"/>
    </row>
    <row r="445" spans="2:2" ht="15.75" customHeight="1">
      <c r="B445" s="15"/>
    </row>
    <row r="446" spans="2:2" ht="15.75" customHeight="1">
      <c r="B446" s="15"/>
    </row>
    <row r="447" spans="2:2" ht="15.75" customHeight="1">
      <c r="B447" s="15"/>
    </row>
    <row r="448" spans="2:2" ht="15.75" customHeight="1">
      <c r="B448" s="15"/>
    </row>
    <row r="449" spans="2:2" ht="15.75" customHeight="1">
      <c r="B449" s="15"/>
    </row>
    <row r="450" spans="2:2" ht="15.75" customHeight="1">
      <c r="B450" s="15"/>
    </row>
    <row r="451" spans="2:2" ht="15.75" customHeight="1">
      <c r="B451" s="15"/>
    </row>
    <row r="452" spans="2:2" ht="15.75" customHeight="1">
      <c r="B452" s="15"/>
    </row>
    <row r="453" spans="2:2" ht="15.75" customHeight="1">
      <c r="B453" s="15"/>
    </row>
    <row r="454" spans="2:2" ht="15.75" customHeight="1">
      <c r="B454" s="15"/>
    </row>
    <row r="455" spans="2:2" ht="15.75" customHeight="1">
      <c r="B455" s="15"/>
    </row>
    <row r="456" spans="2:2" ht="15.75" customHeight="1">
      <c r="B456" s="15"/>
    </row>
    <row r="457" spans="2:2" ht="15.75" customHeight="1">
      <c r="B457" s="15"/>
    </row>
    <row r="458" spans="2:2" ht="15.75" customHeight="1">
      <c r="B458" s="15"/>
    </row>
    <row r="459" spans="2:2" ht="15.75" customHeight="1">
      <c r="B459" s="15"/>
    </row>
    <row r="460" spans="2:2" ht="15.75" customHeight="1">
      <c r="B460" s="15"/>
    </row>
    <row r="461" spans="2:2" ht="15.75" customHeight="1">
      <c r="B461" s="15"/>
    </row>
    <row r="462" spans="2:2" ht="15.75" customHeight="1">
      <c r="B462" s="15"/>
    </row>
    <row r="463" spans="2:2" ht="15.75" customHeight="1">
      <c r="B463" s="15"/>
    </row>
    <row r="464" spans="2:2" ht="15.75" customHeight="1">
      <c r="B464" s="15"/>
    </row>
    <row r="465" spans="2:2" ht="15.75" customHeight="1">
      <c r="B465" s="15"/>
    </row>
    <row r="466" spans="2:2" ht="15.75" customHeight="1">
      <c r="B466" s="15"/>
    </row>
    <row r="467" spans="2:2" ht="15.75" customHeight="1">
      <c r="B467" s="15"/>
    </row>
    <row r="468" spans="2:2" ht="15.75" customHeight="1">
      <c r="B468" s="15"/>
    </row>
    <row r="469" spans="2:2" ht="15.75" customHeight="1">
      <c r="B469" s="15"/>
    </row>
    <row r="470" spans="2:2" ht="15.75" customHeight="1">
      <c r="B470" s="15"/>
    </row>
    <row r="471" spans="2:2" ht="15.75" customHeight="1">
      <c r="B471" s="15"/>
    </row>
    <row r="472" spans="2:2" ht="15.75" customHeight="1">
      <c r="B472" s="15"/>
    </row>
    <row r="473" spans="2:2" ht="15.75" customHeight="1">
      <c r="B473" s="15"/>
    </row>
    <row r="474" spans="2:2" ht="15.75" customHeight="1">
      <c r="B474" s="15"/>
    </row>
    <row r="475" spans="2:2" ht="15.75" customHeight="1">
      <c r="B475" s="15"/>
    </row>
    <row r="476" spans="2:2" ht="15.75" customHeight="1">
      <c r="B476" s="15"/>
    </row>
    <row r="477" spans="2:2" ht="15.75" customHeight="1">
      <c r="B477" s="15"/>
    </row>
    <row r="478" spans="2:2" ht="15.75" customHeight="1">
      <c r="B478" s="15"/>
    </row>
    <row r="479" spans="2:2" ht="15.75" customHeight="1">
      <c r="B479" s="15"/>
    </row>
    <row r="480" spans="2:2" ht="15.75" customHeight="1">
      <c r="B480" s="15"/>
    </row>
    <row r="481" spans="2:2" ht="15.75" customHeight="1">
      <c r="B481" s="15"/>
    </row>
    <row r="482" spans="2:2" ht="15.75" customHeight="1">
      <c r="B482" s="15"/>
    </row>
    <row r="483" spans="2:2" ht="15.75" customHeight="1">
      <c r="B483" s="15"/>
    </row>
    <row r="484" spans="2:2" ht="15.75" customHeight="1">
      <c r="B484" s="15"/>
    </row>
    <row r="485" spans="2:2" ht="15.75" customHeight="1">
      <c r="B485" s="15"/>
    </row>
    <row r="486" spans="2:2" ht="15.75" customHeight="1">
      <c r="B486" s="15"/>
    </row>
    <row r="487" spans="2:2" ht="15.75" customHeight="1">
      <c r="B487" s="15"/>
    </row>
    <row r="488" spans="2:2" ht="15.75" customHeight="1">
      <c r="B488" s="15"/>
    </row>
    <row r="489" spans="2:2" ht="15.75" customHeight="1">
      <c r="B489" s="15"/>
    </row>
    <row r="490" spans="2:2" ht="15.75" customHeight="1">
      <c r="B490" s="15"/>
    </row>
    <row r="491" spans="2:2" ht="15.75" customHeight="1">
      <c r="B491" s="15"/>
    </row>
    <row r="492" spans="2:2" ht="15.75" customHeight="1">
      <c r="B492" s="15"/>
    </row>
    <row r="493" spans="2:2" ht="15.75" customHeight="1">
      <c r="B493" s="15"/>
    </row>
    <row r="494" spans="2:2" ht="15.75" customHeight="1">
      <c r="B494" s="15"/>
    </row>
    <row r="495" spans="2:2" ht="15.75" customHeight="1">
      <c r="B495" s="15"/>
    </row>
    <row r="496" spans="2:2" ht="15.75" customHeight="1">
      <c r="B496" s="15"/>
    </row>
    <row r="497" spans="2:2" ht="15.75" customHeight="1">
      <c r="B497" s="15"/>
    </row>
    <row r="498" spans="2:2" ht="15.75" customHeight="1">
      <c r="B498" s="15"/>
    </row>
    <row r="499" spans="2:2" ht="15.75" customHeight="1">
      <c r="B499" s="15"/>
    </row>
    <row r="500" spans="2:2" ht="15.75" customHeight="1">
      <c r="B500" s="15"/>
    </row>
    <row r="501" spans="2:2" ht="15.75" customHeight="1">
      <c r="B501" s="15"/>
    </row>
    <row r="502" spans="2:2" ht="15.75" customHeight="1">
      <c r="B502" s="15"/>
    </row>
    <row r="503" spans="2:2" ht="15.75" customHeight="1">
      <c r="B503" s="15"/>
    </row>
    <row r="504" spans="2:2" ht="15.75" customHeight="1">
      <c r="B504" s="15"/>
    </row>
    <row r="505" spans="2:2" ht="15.75" customHeight="1">
      <c r="B505" s="15"/>
    </row>
    <row r="506" spans="2:2" ht="15.75" customHeight="1">
      <c r="B506" s="15"/>
    </row>
    <row r="507" spans="2:2" ht="15.75" customHeight="1">
      <c r="B507" s="15"/>
    </row>
    <row r="508" spans="2:2" ht="15.75" customHeight="1">
      <c r="B508" s="15"/>
    </row>
    <row r="509" spans="2:2" ht="15.75" customHeight="1">
      <c r="B509" s="15"/>
    </row>
    <row r="510" spans="2:2" ht="15.75" customHeight="1">
      <c r="B510" s="15"/>
    </row>
    <row r="511" spans="2:2" ht="15.75" customHeight="1">
      <c r="B511" s="15"/>
    </row>
    <row r="512" spans="2:2" ht="15.75" customHeight="1">
      <c r="B512" s="15"/>
    </row>
    <row r="513" spans="2:2" ht="15.75" customHeight="1">
      <c r="B513" s="15"/>
    </row>
    <row r="514" spans="2:2" ht="15.75" customHeight="1">
      <c r="B514" s="15"/>
    </row>
    <row r="515" spans="2:2" ht="15.75" customHeight="1">
      <c r="B515" s="15"/>
    </row>
    <row r="516" spans="2:2" ht="15.75" customHeight="1">
      <c r="B516" s="15"/>
    </row>
    <row r="517" spans="2:2" ht="15.75" customHeight="1">
      <c r="B517" s="15"/>
    </row>
    <row r="518" spans="2:2" ht="15.75" customHeight="1">
      <c r="B518" s="15"/>
    </row>
    <row r="519" spans="2:2" ht="15.75" customHeight="1">
      <c r="B519" s="15"/>
    </row>
    <row r="520" spans="2:2" ht="15.75" customHeight="1">
      <c r="B520" s="15"/>
    </row>
    <row r="521" spans="2:2" ht="15.75" customHeight="1">
      <c r="B521" s="15"/>
    </row>
    <row r="522" spans="2:2" ht="15.75" customHeight="1">
      <c r="B522" s="15"/>
    </row>
    <row r="523" spans="2:2" ht="15.75" customHeight="1">
      <c r="B523" s="15"/>
    </row>
    <row r="524" spans="2:2" ht="15.75" customHeight="1">
      <c r="B524" s="15"/>
    </row>
    <row r="525" spans="2:2" ht="15.75" customHeight="1">
      <c r="B525" s="15"/>
    </row>
    <row r="526" spans="2:2" ht="15.75" customHeight="1">
      <c r="B526" s="15"/>
    </row>
    <row r="527" spans="2:2" ht="15.75" customHeight="1">
      <c r="B527" s="15"/>
    </row>
    <row r="528" spans="2:2" ht="15.75" customHeight="1">
      <c r="B528" s="15"/>
    </row>
    <row r="529" spans="2:2" ht="15.75" customHeight="1">
      <c r="B529" s="15"/>
    </row>
    <row r="530" spans="2:2" ht="15.75" customHeight="1">
      <c r="B530" s="15"/>
    </row>
    <row r="531" spans="2:2" ht="15.75" customHeight="1">
      <c r="B531" s="15"/>
    </row>
    <row r="532" spans="2:2" ht="15.75" customHeight="1">
      <c r="B532" s="15"/>
    </row>
    <row r="533" spans="2:2" ht="15.75" customHeight="1">
      <c r="B533" s="15"/>
    </row>
    <row r="534" spans="2:2" ht="15.75" customHeight="1">
      <c r="B534" s="15"/>
    </row>
    <row r="535" spans="2:2" ht="15.75" customHeight="1">
      <c r="B535" s="15"/>
    </row>
    <row r="536" spans="2:2" ht="15.75" customHeight="1">
      <c r="B536" s="15"/>
    </row>
    <row r="537" spans="2:2" ht="15.75" customHeight="1">
      <c r="B537" s="15"/>
    </row>
    <row r="538" spans="2:2" ht="15.75" customHeight="1">
      <c r="B538" s="15"/>
    </row>
    <row r="539" spans="2:2" ht="15.75" customHeight="1">
      <c r="B539" s="15"/>
    </row>
    <row r="540" spans="2:2" ht="15.75" customHeight="1">
      <c r="B540" s="15"/>
    </row>
    <row r="541" spans="2:2" ht="15.75" customHeight="1">
      <c r="B541" s="15"/>
    </row>
    <row r="542" spans="2:2" ht="15.75" customHeight="1">
      <c r="B542" s="15"/>
    </row>
    <row r="543" spans="2:2" ht="15.75" customHeight="1">
      <c r="B543" s="15"/>
    </row>
    <row r="544" spans="2:2" ht="15.75" customHeight="1">
      <c r="B544" s="15"/>
    </row>
    <row r="545" spans="2:2" ht="15.75" customHeight="1">
      <c r="B545" s="15"/>
    </row>
    <row r="546" spans="2:2" ht="15.75" customHeight="1">
      <c r="B546" s="15"/>
    </row>
    <row r="547" spans="2:2" ht="15.75" customHeight="1">
      <c r="B547" s="15"/>
    </row>
    <row r="548" spans="2:2" ht="15.75" customHeight="1">
      <c r="B548" s="15"/>
    </row>
    <row r="549" spans="2:2" ht="15.75" customHeight="1">
      <c r="B549" s="15"/>
    </row>
    <row r="550" spans="2:2" ht="15.75" customHeight="1">
      <c r="B550" s="15"/>
    </row>
    <row r="551" spans="2:2" ht="15.75" customHeight="1">
      <c r="B551" s="15"/>
    </row>
    <row r="552" spans="2:2" ht="15.75" customHeight="1">
      <c r="B552" s="15"/>
    </row>
    <row r="553" spans="2:2" ht="15.75" customHeight="1">
      <c r="B553" s="15"/>
    </row>
    <row r="554" spans="2:2" ht="15.75" customHeight="1">
      <c r="B554" s="15"/>
    </row>
    <row r="555" spans="2:2" ht="15.75" customHeight="1">
      <c r="B555" s="15"/>
    </row>
    <row r="556" spans="2:2" ht="15.75" customHeight="1">
      <c r="B556" s="15"/>
    </row>
    <row r="557" spans="2:2" ht="15.75" customHeight="1">
      <c r="B557" s="15"/>
    </row>
    <row r="558" spans="2:2" ht="15.75" customHeight="1">
      <c r="B558" s="15"/>
    </row>
    <row r="559" spans="2:2" ht="15.75" customHeight="1">
      <c r="B559" s="15"/>
    </row>
    <row r="560" spans="2:2" ht="15.75" customHeight="1">
      <c r="B560" s="15"/>
    </row>
    <row r="561" spans="2:2" ht="15.75" customHeight="1">
      <c r="B561" s="15"/>
    </row>
    <row r="562" spans="2:2" ht="15.75" customHeight="1">
      <c r="B562" s="15"/>
    </row>
    <row r="563" spans="2:2" ht="15.75" customHeight="1">
      <c r="B563" s="15"/>
    </row>
    <row r="564" spans="2:2" ht="15.75" customHeight="1">
      <c r="B564" s="15"/>
    </row>
    <row r="565" spans="2:2" ht="15.75" customHeight="1">
      <c r="B565" s="15"/>
    </row>
    <row r="566" spans="2:2" ht="15.75" customHeight="1">
      <c r="B566" s="15"/>
    </row>
    <row r="567" spans="2:2" ht="15.75" customHeight="1">
      <c r="B567" s="15"/>
    </row>
    <row r="568" spans="2:2" ht="15.75" customHeight="1">
      <c r="B568" s="15"/>
    </row>
    <row r="569" spans="2:2" ht="15.75" customHeight="1">
      <c r="B569" s="15"/>
    </row>
    <row r="570" spans="2:2" ht="15.75" customHeight="1">
      <c r="B570" s="15"/>
    </row>
    <row r="571" spans="2:2" ht="15.75" customHeight="1">
      <c r="B571" s="15"/>
    </row>
    <row r="572" spans="2:2" ht="15.75" customHeight="1">
      <c r="B572" s="15"/>
    </row>
    <row r="573" spans="2:2" ht="15.75" customHeight="1">
      <c r="B573" s="15"/>
    </row>
    <row r="574" spans="2:2" ht="15.75" customHeight="1">
      <c r="B574" s="15"/>
    </row>
    <row r="575" spans="2:2" ht="15.75" customHeight="1">
      <c r="B575" s="15"/>
    </row>
    <row r="576" spans="2:2" ht="15.75" customHeight="1">
      <c r="B576" s="15"/>
    </row>
    <row r="577" spans="2:2" ht="15.75" customHeight="1">
      <c r="B577" s="15"/>
    </row>
    <row r="578" spans="2:2" ht="15.75" customHeight="1">
      <c r="B578" s="15"/>
    </row>
    <row r="579" spans="2:2" ht="15.75" customHeight="1">
      <c r="B579" s="15"/>
    </row>
    <row r="580" spans="2:2" ht="15.75" customHeight="1">
      <c r="B580" s="15"/>
    </row>
    <row r="581" spans="2:2" ht="15.75" customHeight="1">
      <c r="B581" s="15"/>
    </row>
    <row r="582" spans="2:2" ht="15.75" customHeight="1">
      <c r="B582" s="15"/>
    </row>
    <row r="583" spans="2:2" ht="15.75" customHeight="1">
      <c r="B583" s="15"/>
    </row>
    <row r="584" spans="2:2" ht="15.75" customHeight="1">
      <c r="B584" s="15"/>
    </row>
    <row r="585" spans="2:2" ht="15.75" customHeight="1">
      <c r="B585" s="15"/>
    </row>
    <row r="586" spans="2:2" ht="15.75" customHeight="1">
      <c r="B586" s="15"/>
    </row>
    <row r="587" spans="2:2" ht="15.75" customHeight="1">
      <c r="B587" s="15"/>
    </row>
    <row r="588" spans="2:2" ht="15.75" customHeight="1">
      <c r="B588" s="15"/>
    </row>
    <row r="589" spans="2:2" ht="15.75" customHeight="1">
      <c r="B589" s="15"/>
    </row>
    <row r="590" spans="2:2" ht="15.75" customHeight="1">
      <c r="B590" s="15"/>
    </row>
    <row r="591" spans="2:2" ht="15.75" customHeight="1">
      <c r="B591" s="15"/>
    </row>
    <row r="592" spans="2:2" ht="15.75" customHeight="1">
      <c r="B592" s="15"/>
    </row>
    <row r="593" spans="2:2" ht="15.75" customHeight="1">
      <c r="B593" s="15"/>
    </row>
    <row r="594" spans="2:2" ht="15.75" customHeight="1">
      <c r="B594" s="15"/>
    </row>
    <row r="595" spans="2:2" ht="15.75" customHeight="1">
      <c r="B595" s="15"/>
    </row>
    <row r="596" spans="2:2" ht="15.75" customHeight="1">
      <c r="B596" s="15"/>
    </row>
    <row r="597" spans="2:2" ht="15.75" customHeight="1">
      <c r="B597" s="15"/>
    </row>
    <row r="598" spans="2:2" ht="15.75" customHeight="1">
      <c r="B598" s="15"/>
    </row>
    <row r="599" spans="2:2" ht="15.75" customHeight="1">
      <c r="B599" s="15"/>
    </row>
    <row r="600" spans="2:2" ht="15.75" customHeight="1">
      <c r="B600" s="15"/>
    </row>
    <row r="601" spans="2:2" ht="15.75" customHeight="1">
      <c r="B601" s="15"/>
    </row>
    <row r="602" spans="2:2" ht="15.75" customHeight="1">
      <c r="B602" s="15"/>
    </row>
    <row r="603" spans="2:2" ht="15.75" customHeight="1">
      <c r="B603" s="15"/>
    </row>
    <row r="604" spans="2:2" ht="15.75" customHeight="1">
      <c r="B604" s="15"/>
    </row>
    <row r="605" spans="2:2" ht="15.75" customHeight="1">
      <c r="B605" s="15"/>
    </row>
    <row r="606" spans="2:2" ht="15.75" customHeight="1">
      <c r="B606" s="15"/>
    </row>
    <row r="607" spans="2:2" ht="15.75" customHeight="1">
      <c r="B607" s="15"/>
    </row>
    <row r="608" spans="2:2" ht="15.75" customHeight="1">
      <c r="B608" s="15"/>
    </row>
    <row r="609" spans="2:2" ht="15.75" customHeight="1">
      <c r="B609" s="15"/>
    </row>
    <row r="610" spans="2:2" ht="15.75" customHeight="1">
      <c r="B610" s="15"/>
    </row>
    <row r="611" spans="2:2" ht="15.75" customHeight="1">
      <c r="B611" s="15"/>
    </row>
    <row r="612" spans="2:2" ht="15.75" customHeight="1">
      <c r="B612" s="15"/>
    </row>
    <row r="613" spans="2:2" ht="15.75" customHeight="1">
      <c r="B613" s="15"/>
    </row>
    <row r="614" spans="2:2" ht="15.75" customHeight="1">
      <c r="B614" s="15"/>
    </row>
    <row r="615" spans="2:2" ht="15.75" customHeight="1">
      <c r="B615" s="15"/>
    </row>
    <row r="616" spans="2:2" ht="15.75" customHeight="1">
      <c r="B616" s="15"/>
    </row>
    <row r="617" spans="2:2" ht="15.75" customHeight="1">
      <c r="B617" s="15"/>
    </row>
    <row r="618" spans="2:2" ht="15.75" customHeight="1">
      <c r="B618" s="15"/>
    </row>
    <row r="619" spans="2:2" ht="15.75" customHeight="1">
      <c r="B619" s="15"/>
    </row>
    <row r="620" spans="2:2" ht="15.75" customHeight="1">
      <c r="B620" s="15"/>
    </row>
    <row r="621" spans="2:2" ht="15.75" customHeight="1">
      <c r="B621" s="15"/>
    </row>
    <row r="622" spans="2:2" ht="15.75" customHeight="1">
      <c r="B622" s="15"/>
    </row>
    <row r="623" spans="2:2" ht="15.75" customHeight="1">
      <c r="B623" s="15"/>
    </row>
    <row r="624" spans="2:2" ht="15.75" customHeight="1">
      <c r="B624" s="15"/>
    </row>
    <row r="625" spans="2:2" ht="15.75" customHeight="1">
      <c r="B625" s="15"/>
    </row>
    <row r="626" spans="2:2" ht="15.75" customHeight="1">
      <c r="B626" s="15"/>
    </row>
    <row r="627" spans="2:2" ht="15.75" customHeight="1">
      <c r="B627" s="15"/>
    </row>
    <row r="628" spans="2:2" ht="15.75" customHeight="1">
      <c r="B628" s="15"/>
    </row>
    <row r="629" spans="2:2" ht="15.75" customHeight="1">
      <c r="B629" s="15"/>
    </row>
    <row r="630" spans="2:2" ht="15.75" customHeight="1">
      <c r="B630" s="15"/>
    </row>
    <row r="631" spans="2:2" ht="15.75" customHeight="1">
      <c r="B631" s="15"/>
    </row>
    <row r="632" spans="2:2" ht="15.75" customHeight="1">
      <c r="B632" s="15"/>
    </row>
    <row r="633" spans="2:2" ht="15.75" customHeight="1">
      <c r="B633" s="15"/>
    </row>
    <row r="634" spans="2:2" ht="15.75" customHeight="1">
      <c r="B634" s="15"/>
    </row>
    <row r="635" spans="2:2" ht="15.75" customHeight="1">
      <c r="B635" s="15"/>
    </row>
    <row r="636" spans="2:2" ht="15.75" customHeight="1">
      <c r="B636" s="15"/>
    </row>
    <row r="637" spans="2:2" ht="15.75" customHeight="1">
      <c r="B637" s="15"/>
    </row>
    <row r="638" spans="2:2" ht="15.75" customHeight="1">
      <c r="B638" s="15"/>
    </row>
    <row r="639" spans="2:2" ht="15.75" customHeight="1">
      <c r="B639" s="15"/>
    </row>
    <row r="640" spans="2:2" ht="15.75" customHeight="1">
      <c r="B640" s="15"/>
    </row>
    <row r="641" spans="2:2" ht="15.75" customHeight="1">
      <c r="B641" s="15"/>
    </row>
    <row r="642" spans="2:2" ht="15.75" customHeight="1">
      <c r="B642" s="15"/>
    </row>
    <row r="643" spans="2:2" ht="15.75" customHeight="1">
      <c r="B643" s="15"/>
    </row>
    <row r="644" spans="2:2" ht="15.75" customHeight="1">
      <c r="B644" s="15"/>
    </row>
    <row r="645" spans="2:2" ht="15.75" customHeight="1">
      <c r="B645" s="15"/>
    </row>
    <row r="646" spans="2:2" ht="15.75" customHeight="1">
      <c r="B646" s="15"/>
    </row>
    <row r="647" spans="2:2" ht="15.75" customHeight="1">
      <c r="B647" s="15"/>
    </row>
    <row r="648" spans="2:2" ht="15.75" customHeight="1">
      <c r="B648" s="15"/>
    </row>
    <row r="649" spans="2:2" ht="15.75" customHeight="1">
      <c r="B649" s="15"/>
    </row>
    <row r="650" spans="2:2" ht="15.75" customHeight="1">
      <c r="B650" s="15"/>
    </row>
    <row r="651" spans="2:2" ht="15.75" customHeight="1">
      <c r="B651" s="15"/>
    </row>
    <row r="652" spans="2:2" ht="15.75" customHeight="1">
      <c r="B652" s="15"/>
    </row>
    <row r="653" spans="2:2" ht="15.75" customHeight="1">
      <c r="B653" s="15"/>
    </row>
    <row r="654" spans="2:2" ht="15.75" customHeight="1">
      <c r="B654" s="15"/>
    </row>
    <row r="655" spans="2:2" ht="15.75" customHeight="1">
      <c r="B655" s="15"/>
    </row>
    <row r="656" spans="2:2" ht="15.75" customHeight="1">
      <c r="B656" s="15"/>
    </row>
    <row r="657" spans="2:2" ht="15.75" customHeight="1">
      <c r="B657" s="15"/>
    </row>
    <row r="658" spans="2:2" ht="15.75" customHeight="1">
      <c r="B658" s="15"/>
    </row>
    <row r="659" spans="2:2" ht="15.75" customHeight="1">
      <c r="B659" s="15"/>
    </row>
    <row r="660" spans="2:2" ht="15.75" customHeight="1">
      <c r="B660" s="15"/>
    </row>
    <row r="661" spans="2:2" ht="15.75" customHeight="1">
      <c r="B661" s="15"/>
    </row>
    <row r="662" spans="2:2" ht="15.75" customHeight="1">
      <c r="B662" s="15"/>
    </row>
    <row r="663" spans="2:2" ht="15.75" customHeight="1">
      <c r="B663" s="15"/>
    </row>
    <row r="664" spans="2:2" ht="15.75" customHeight="1">
      <c r="B664" s="15"/>
    </row>
    <row r="665" spans="2:2" ht="15.75" customHeight="1">
      <c r="B665" s="15"/>
    </row>
    <row r="666" spans="2:2" ht="15.75" customHeight="1">
      <c r="B666" s="15"/>
    </row>
    <row r="667" spans="2:2" ht="15.75" customHeight="1">
      <c r="B667" s="15"/>
    </row>
    <row r="668" spans="2:2" ht="15.75" customHeight="1">
      <c r="B668" s="15"/>
    </row>
    <row r="669" spans="2:2" ht="15.75" customHeight="1">
      <c r="B669" s="15"/>
    </row>
    <row r="670" spans="2:2" ht="15.75" customHeight="1">
      <c r="B670" s="15"/>
    </row>
    <row r="671" spans="2:2" ht="15.75" customHeight="1">
      <c r="B671" s="15"/>
    </row>
    <row r="672" spans="2:2" ht="15.75" customHeight="1">
      <c r="B672" s="15"/>
    </row>
    <row r="673" spans="2:2" ht="15.75" customHeight="1">
      <c r="B673" s="15"/>
    </row>
    <row r="674" spans="2:2" ht="15.75" customHeight="1">
      <c r="B674" s="15"/>
    </row>
    <row r="675" spans="2:2" ht="15.75" customHeight="1">
      <c r="B675" s="15"/>
    </row>
    <row r="676" spans="2:2" ht="15.75" customHeight="1">
      <c r="B676" s="15"/>
    </row>
    <row r="677" spans="2:2" ht="15.75" customHeight="1">
      <c r="B677" s="15"/>
    </row>
    <row r="678" spans="2:2" ht="15.75" customHeight="1">
      <c r="B678" s="15"/>
    </row>
    <row r="679" spans="2:2" ht="15.75" customHeight="1">
      <c r="B679" s="15"/>
    </row>
    <row r="680" spans="2:2" ht="15.75" customHeight="1">
      <c r="B680" s="15"/>
    </row>
    <row r="681" spans="2:2" ht="15.75" customHeight="1">
      <c r="B681" s="15"/>
    </row>
    <row r="682" spans="2:2" ht="15.75" customHeight="1">
      <c r="B682" s="15"/>
    </row>
    <row r="683" spans="2:2" ht="15.75" customHeight="1">
      <c r="B683" s="15"/>
    </row>
    <row r="684" spans="2:2" ht="15.75" customHeight="1">
      <c r="B684" s="15"/>
    </row>
    <row r="685" spans="2:2" ht="15.75" customHeight="1">
      <c r="B685" s="15"/>
    </row>
    <row r="686" spans="2:2" ht="15.75" customHeight="1">
      <c r="B686" s="15"/>
    </row>
    <row r="687" spans="2:2" ht="15.75" customHeight="1">
      <c r="B687" s="15"/>
    </row>
    <row r="688" spans="2:2" ht="15.75" customHeight="1">
      <c r="B688" s="15"/>
    </row>
    <row r="689" spans="2:2" ht="15.75" customHeight="1">
      <c r="B689" s="15"/>
    </row>
    <row r="690" spans="2:2" ht="15.75" customHeight="1">
      <c r="B690" s="15"/>
    </row>
    <row r="691" spans="2:2" ht="15.75" customHeight="1">
      <c r="B691" s="15"/>
    </row>
    <row r="692" spans="2:2" ht="15.75" customHeight="1">
      <c r="B692" s="15"/>
    </row>
    <row r="693" spans="2:2" ht="15.75" customHeight="1">
      <c r="B693" s="15"/>
    </row>
    <row r="694" spans="2:2" ht="15.75" customHeight="1">
      <c r="B694" s="15"/>
    </row>
    <row r="695" spans="2:2" ht="15.75" customHeight="1">
      <c r="B695" s="15"/>
    </row>
    <row r="696" spans="2:2" ht="15.75" customHeight="1">
      <c r="B696" s="15"/>
    </row>
    <row r="697" spans="2:2" ht="15.75" customHeight="1">
      <c r="B697" s="15"/>
    </row>
    <row r="698" spans="2:2" ht="15.75" customHeight="1">
      <c r="B698" s="15"/>
    </row>
    <row r="699" spans="2:2" ht="15.75" customHeight="1">
      <c r="B699" s="15"/>
    </row>
    <row r="700" spans="2:2" ht="15.75" customHeight="1">
      <c r="B700" s="15"/>
    </row>
    <row r="701" spans="2:2" ht="15.75" customHeight="1">
      <c r="B701" s="15"/>
    </row>
    <row r="702" spans="2:2" ht="15.75" customHeight="1">
      <c r="B702" s="15"/>
    </row>
    <row r="703" spans="2:2" ht="15.75" customHeight="1">
      <c r="B703" s="15"/>
    </row>
    <row r="704" spans="2:2" ht="15.75" customHeight="1">
      <c r="B704" s="15"/>
    </row>
    <row r="705" spans="2:2" ht="15.75" customHeight="1">
      <c r="B705" s="15"/>
    </row>
    <row r="706" spans="2:2" ht="15.75" customHeight="1">
      <c r="B706" s="15"/>
    </row>
    <row r="707" spans="2:2" ht="15.75" customHeight="1">
      <c r="B707" s="15"/>
    </row>
    <row r="708" spans="2:2" ht="15.75" customHeight="1">
      <c r="B708" s="15"/>
    </row>
    <row r="709" spans="2:2" ht="15.75" customHeight="1">
      <c r="B709" s="15"/>
    </row>
    <row r="710" spans="2:2" ht="15.75" customHeight="1">
      <c r="B710" s="15"/>
    </row>
    <row r="711" spans="2:2" ht="15.75" customHeight="1">
      <c r="B711" s="15"/>
    </row>
    <row r="712" spans="2:2" ht="15.75" customHeight="1">
      <c r="B712" s="15"/>
    </row>
    <row r="713" spans="2:2" ht="15.75" customHeight="1">
      <c r="B713" s="15"/>
    </row>
    <row r="714" spans="2:2" ht="15.75" customHeight="1">
      <c r="B714" s="15"/>
    </row>
    <row r="715" spans="2:2" ht="15.75" customHeight="1">
      <c r="B715" s="15"/>
    </row>
    <row r="716" spans="2:2" ht="15.75" customHeight="1">
      <c r="B716" s="15"/>
    </row>
    <row r="717" spans="2:2" ht="15.75" customHeight="1">
      <c r="B717" s="15"/>
    </row>
    <row r="718" spans="2:2" ht="15.75" customHeight="1">
      <c r="B718" s="15"/>
    </row>
    <row r="719" spans="2:2" ht="15.75" customHeight="1">
      <c r="B719" s="15"/>
    </row>
    <row r="720" spans="2:2" ht="15.75" customHeight="1">
      <c r="B720" s="15"/>
    </row>
    <row r="721" spans="2:2" ht="15.75" customHeight="1">
      <c r="B721" s="15"/>
    </row>
    <row r="722" spans="2:2" ht="15.75" customHeight="1">
      <c r="B722" s="15"/>
    </row>
    <row r="723" spans="2:2" ht="15.75" customHeight="1">
      <c r="B723" s="15"/>
    </row>
    <row r="724" spans="2:2" ht="15.75" customHeight="1">
      <c r="B724" s="15"/>
    </row>
    <row r="725" spans="2:2" ht="15.75" customHeight="1">
      <c r="B725" s="15"/>
    </row>
    <row r="726" spans="2:2" ht="15.75" customHeight="1">
      <c r="B726" s="15"/>
    </row>
    <row r="727" spans="2:2" ht="15.75" customHeight="1">
      <c r="B727" s="15"/>
    </row>
    <row r="728" spans="2:2" ht="15.75" customHeight="1">
      <c r="B728" s="15"/>
    </row>
    <row r="729" spans="2:2" ht="15.75" customHeight="1">
      <c r="B729" s="15"/>
    </row>
    <row r="730" spans="2:2" ht="15.75" customHeight="1">
      <c r="B730" s="15"/>
    </row>
    <row r="731" spans="2:2" ht="15.75" customHeight="1">
      <c r="B731" s="15"/>
    </row>
    <row r="732" spans="2:2" ht="15.75" customHeight="1">
      <c r="B732" s="15"/>
    </row>
    <row r="733" spans="2:2" ht="15.75" customHeight="1">
      <c r="B733" s="15"/>
    </row>
    <row r="734" spans="2:2" ht="15.75" customHeight="1">
      <c r="B734" s="15"/>
    </row>
    <row r="735" spans="2:2" ht="15.75" customHeight="1">
      <c r="B735" s="15"/>
    </row>
    <row r="736" spans="2:2" ht="15.75" customHeight="1">
      <c r="B736" s="15"/>
    </row>
    <row r="737" spans="2:2" ht="15.75" customHeight="1">
      <c r="B737" s="15"/>
    </row>
    <row r="738" spans="2:2" ht="15.75" customHeight="1">
      <c r="B738" s="15"/>
    </row>
    <row r="739" spans="2:2" ht="15.75" customHeight="1">
      <c r="B739" s="15"/>
    </row>
    <row r="740" spans="2:2" ht="15.75" customHeight="1">
      <c r="B740" s="15"/>
    </row>
    <row r="741" spans="2:2" ht="15.75" customHeight="1">
      <c r="B741" s="15"/>
    </row>
    <row r="742" spans="2:2" ht="15.75" customHeight="1">
      <c r="B742" s="15"/>
    </row>
    <row r="743" spans="2:2" ht="15.75" customHeight="1">
      <c r="B743" s="15"/>
    </row>
    <row r="744" spans="2:2" ht="15.75" customHeight="1">
      <c r="B744" s="15"/>
    </row>
    <row r="745" spans="2:2" ht="15.75" customHeight="1">
      <c r="B745" s="15"/>
    </row>
    <row r="746" spans="2:2" ht="15.75" customHeight="1">
      <c r="B746" s="15"/>
    </row>
    <row r="747" spans="2:2" ht="15.75" customHeight="1">
      <c r="B747" s="15"/>
    </row>
    <row r="748" spans="2:2" ht="15.75" customHeight="1">
      <c r="B748" s="15"/>
    </row>
    <row r="749" spans="2:2" ht="15.75" customHeight="1">
      <c r="B749" s="15"/>
    </row>
    <row r="750" spans="2:2" ht="15.75" customHeight="1">
      <c r="B750" s="15"/>
    </row>
    <row r="751" spans="2:2" ht="15.75" customHeight="1">
      <c r="B751" s="15"/>
    </row>
    <row r="752" spans="2:2" ht="15.75" customHeight="1">
      <c r="B752" s="15"/>
    </row>
    <row r="753" spans="2:2" ht="15.75" customHeight="1">
      <c r="B753" s="15"/>
    </row>
    <row r="754" spans="2:2" ht="15.75" customHeight="1">
      <c r="B754" s="15"/>
    </row>
    <row r="755" spans="2:2" ht="15.75" customHeight="1">
      <c r="B755" s="15"/>
    </row>
    <row r="756" spans="2:2" ht="15.75" customHeight="1">
      <c r="B756" s="15"/>
    </row>
    <row r="757" spans="2:2" ht="15.75" customHeight="1">
      <c r="B757" s="15"/>
    </row>
    <row r="758" spans="2:2" ht="15.75" customHeight="1">
      <c r="B758" s="15"/>
    </row>
    <row r="759" spans="2:2" ht="15.75" customHeight="1">
      <c r="B759" s="15"/>
    </row>
    <row r="760" spans="2:2" ht="15.75" customHeight="1">
      <c r="B760" s="15"/>
    </row>
    <row r="761" spans="2:2" ht="15.75" customHeight="1">
      <c r="B761" s="15"/>
    </row>
    <row r="762" spans="2:2" ht="15.75" customHeight="1">
      <c r="B762" s="15"/>
    </row>
    <row r="763" spans="2:2" ht="15.75" customHeight="1">
      <c r="B763" s="15"/>
    </row>
    <row r="764" spans="2:2" ht="15.75" customHeight="1">
      <c r="B764" s="15"/>
    </row>
    <row r="765" spans="2:2" ht="15.75" customHeight="1">
      <c r="B765" s="15"/>
    </row>
    <row r="766" spans="2:2" ht="15.75" customHeight="1">
      <c r="B766" s="15"/>
    </row>
    <row r="767" spans="2:2" ht="15.75" customHeight="1">
      <c r="B767" s="15"/>
    </row>
    <row r="768" spans="2:2" ht="15.75" customHeight="1">
      <c r="B768" s="15"/>
    </row>
    <row r="769" spans="2:2" ht="15.75" customHeight="1">
      <c r="B769" s="15"/>
    </row>
    <row r="770" spans="2:2" ht="15.75" customHeight="1">
      <c r="B770" s="15"/>
    </row>
    <row r="771" spans="2:2" ht="15.75" customHeight="1">
      <c r="B771" s="15"/>
    </row>
    <row r="772" spans="2:2" ht="15.75" customHeight="1">
      <c r="B772" s="15"/>
    </row>
    <row r="773" spans="2:2" ht="15.75" customHeight="1">
      <c r="B773" s="15"/>
    </row>
    <row r="774" spans="2:2" ht="15.75" customHeight="1">
      <c r="B774" s="15"/>
    </row>
    <row r="775" spans="2:2" ht="15.75" customHeight="1">
      <c r="B775" s="15"/>
    </row>
    <row r="776" spans="2:2" ht="15.75" customHeight="1">
      <c r="B776" s="15"/>
    </row>
    <row r="777" spans="2:2" ht="15.75" customHeight="1">
      <c r="B777" s="15"/>
    </row>
    <row r="778" spans="2:2" ht="15.75" customHeight="1">
      <c r="B778" s="15"/>
    </row>
    <row r="779" spans="2:2" ht="15.75" customHeight="1">
      <c r="B779" s="15"/>
    </row>
    <row r="780" spans="2:2" ht="15.75" customHeight="1">
      <c r="B780" s="15"/>
    </row>
    <row r="781" spans="2:2" ht="15.75" customHeight="1">
      <c r="B781" s="15"/>
    </row>
    <row r="782" spans="2:2" ht="15.75" customHeight="1">
      <c r="B782" s="15"/>
    </row>
    <row r="783" spans="2:2" ht="15.75" customHeight="1">
      <c r="B783" s="15"/>
    </row>
    <row r="784" spans="2:2" ht="15.75" customHeight="1">
      <c r="B784" s="15"/>
    </row>
    <row r="785" spans="2:2" ht="15.75" customHeight="1">
      <c r="B785" s="15"/>
    </row>
    <row r="786" spans="2:2" ht="15.75" customHeight="1">
      <c r="B786" s="15"/>
    </row>
    <row r="787" spans="2:2" ht="15.75" customHeight="1">
      <c r="B787" s="15"/>
    </row>
    <row r="788" spans="2:2" ht="15.75" customHeight="1">
      <c r="B788" s="15"/>
    </row>
    <row r="789" spans="2:2" ht="15.75" customHeight="1">
      <c r="B789" s="15"/>
    </row>
    <row r="790" spans="2:2" ht="15.75" customHeight="1">
      <c r="B790" s="15"/>
    </row>
    <row r="791" spans="2:2" ht="15.75" customHeight="1">
      <c r="B791" s="15"/>
    </row>
    <row r="792" spans="2:2" ht="15.75" customHeight="1">
      <c r="B792" s="15"/>
    </row>
    <row r="793" spans="2:2" ht="15.75" customHeight="1">
      <c r="B793" s="15"/>
    </row>
    <row r="794" spans="2:2" ht="15.75" customHeight="1">
      <c r="B794" s="15"/>
    </row>
    <row r="795" spans="2:2" ht="15.75" customHeight="1">
      <c r="B795" s="15"/>
    </row>
    <row r="796" spans="2:2" ht="15.75" customHeight="1">
      <c r="B796" s="15"/>
    </row>
    <row r="797" spans="2:2" ht="15.75" customHeight="1">
      <c r="B797" s="15"/>
    </row>
    <row r="798" spans="2:2" ht="15.75" customHeight="1">
      <c r="B798" s="15"/>
    </row>
    <row r="799" spans="2:2" ht="15.75" customHeight="1">
      <c r="B799" s="15"/>
    </row>
    <row r="800" spans="2:2" ht="15.75" customHeight="1">
      <c r="B800" s="15"/>
    </row>
    <row r="801" spans="2:2" ht="15.75" customHeight="1">
      <c r="B801" s="15"/>
    </row>
    <row r="802" spans="2:2" ht="15.75" customHeight="1">
      <c r="B802" s="15"/>
    </row>
    <row r="803" spans="2:2" ht="15.75" customHeight="1">
      <c r="B803" s="15"/>
    </row>
    <row r="804" spans="2:2" ht="15.75" customHeight="1">
      <c r="B804" s="15"/>
    </row>
    <row r="805" spans="2:2" ht="15.75" customHeight="1">
      <c r="B805" s="15"/>
    </row>
    <row r="806" spans="2:2" ht="15.75" customHeight="1">
      <c r="B806" s="15"/>
    </row>
    <row r="807" spans="2:2" ht="15.75" customHeight="1">
      <c r="B807" s="15"/>
    </row>
    <row r="808" spans="2:2" ht="15.75" customHeight="1">
      <c r="B808" s="15"/>
    </row>
    <row r="809" spans="2:2" ht="15.75" customHeight="1">
      <c r="B809" s="15"/>
    </row>
    <row r="810" spans="2:2" ht="15.75" customHeight="1">
      <c r="B810" s="15"/>
    </row>
    <row r="811" spans="2:2" ht="15.75" customHeight="1">
      <c r="B811" s="15"/>
    </row>
    <row r="812" spans="2:2" ht="15.75" customHeight="1">
      <c r="B812" s="15"/>
    </row>
    <row r="813" spans="2:2" ht="15.75" customHeight="1">
      <c r="B813" s="15"/>
    </row>
    <row r="814" spans="2:2" ht="15.75" customHeight="1">
      <c r="B814" s="15"/>
    </row>
    <row r="815" spans="2:2" ht="15.75" customHeight="1">
      <c r="B815" s="15"/>
    </row>
    <row r="816" spans="2:2" ht="15.75" customHeight="1">
      <c r="B816" s="15"/>
    </row>
    <row r="817" spans="2:2" ht="15.75" customHeight="1">
      <c r="B817" s="15"/>
    </row>
    <row r="818" spans="2:2" ht="15.75" customHeight="1">
      <c r="B818" s="15"/>
    </row>
    <row r="819" spans="2:2" ht="15.75" customHeight="1">
      <c r="B819" s="15"/>
    </row>
    <row r="820" spans="2:2" ht="15.75" customHeight="1">
      <c r="B820" s="15"/>
    </row>
    <row r="821" spans="2:2" ht="15.75" customHeight="1">
      <c r="B821" s="15"/>
    </row>
    <row r="822" spans="2:2" ht="15.75" customHeight="1">
      <c r="B822" s="15"/>
    </row>
    <row r="823" spans="2:2" ht="15.75" customHeight="1">
      <c r="B823" s="15"/>
    </row>
    <row r="824" spans="2:2" ht="15.75" customHeight="1">
      <c r="B824" s="15"/>
    </row>
    <row r="825" spans="2:2" ht="15.75" customHeight="1">
      <c r="B825" s="15"/>
    </row>
    <row r="826" spans="2:2" ht="15.75" customHeight="1">
      <c r="B826" s="15"/>
    </row>
    <row r="827" spans="2:2" ht="15.75" customHeight="1">
      <c r="B827" s="15"/>
    </row>
    <row r="828" spans="2:2" ht="15.75" customHeight="1">
      <c r="B828" s="15"/>
    </row>
    <row r="829" spans="2:2" ht="15.75" customHeight="1">
      <c r="B829" s="15"/>
    </row>
    <row r="830" spans="2:2" ht="15.75" customHeight="1">
      <c r="B830" s="15"/>
    </row>
    <row r="831" spans="2:2" ht="15.75" customHeight="1">
      <c r="B831" s="15"/>
    </row>
    <row r="832" spans="2:2" ht="15.75" customHeight="1">
      <c r="B832" s="15"/>
    </row>
    <row r="833" spans="2:2" ht="15.75" customHeight="1">
      <c r="B833" s="15"/>
    </row>
    <row r="834" spans="2:2" ht="15.75" customHeight="1">
      <c r="B834" s="15"/>
    </row>
    <row r="835" spans="2:2" ht="15.75" customHeight="1">
      <c r="B835" s="15"/>
    </row>
    <row r="836" spans="2:2" ht="15.75" customHeight="1">
      <c r="B836" s="15"/>
    </row>
    <row r="837" spans="2:2" ht="15.75" customHeight="1">
      <c r="B837" s="15"/>
    </row>
    <row r="838" spans="2:2" ht="15.75" customHeight="1">
      <c r="B838" s="15"/>
    </row>
    <row r="839" spans="2:2" ht="15.75" customHeight="1">
      <c r="B839" s="15"/>
    </row>
    <row r="840" spans="2:2" ht="15.75" customHeight="1">
      <c r="B840" s="15"/>
    </row>
    <row r="841" spans="2:2" ht="15.75" customHeight="1">
      <c r="B841" s="15"/>
    </row>
    <row r="842" spans="2:2" ht="15.75" customHeight="1">
      <c r="B842" s="15"/>
    </row>
    <row r="843" spans="2:2" ht="15.75" customHeight="1">
      <c r="B843" s="15"/>
    </row>
    <row r="844" spans="2:2" ht="15.75" customHeight="1">
      <c r="B844" s="15"/>
    </row>
    <row r="845" spans="2:2" ht="15.75" customHeight="1">
      <c r="B845" s="15"/>
    </row>
    <row r="846" spans="2:2" ht="15.75" customHeight="1">
      <c r="B846" s="15"/>
    </row>
    <row r="847" spans="2:2" ht="15.75" customHeight="1">
      <c r="B847" s="15"/>
    </row>
    <row r="848" spans="2:2" ht="15.75" customHeight="1">
      <c r="B848" s="15"/>
    </row>
    <row r="849" spans="2:2" ht="15.75" customHeight="1">
      <c r="B849" s="15"/>
    </row>
    <row r="850" spans="2:2" ht="15.75" customHeight="1">
      <c r="B850" s="15"/>
    </row>
    <row r="851" spans="2:2" ht="15.75" customHeight="1">
      <c r="B851" s="15"/>
    </row>
    <row r="852" spans="2:2" ht="15.75" customHeight="1">
      <c r="B852" s="15"/>
    </row>
    <row r="853" spans="2:2" ht="15.75" customHeight="1">
      <c r="B853" s="15"/>
    </row>
    <row r="854" spans="2:2" ht="15.75" customHeight="1">
      <c r="B854" s="15"/>
    </row>
    <row r="855" spans="2:2" ht="15.75" customHeight="1">
      <c r="B855" s="15"/>
    </row>
    <row r="856" spans="2:2" ht="15.75" customHeight="1">
      <c r="B856" s="15"/>
    </row>
    <row r="857" spans="2:2" ht="15.75" customHeight="1">
      <c r="B857" s="15"/>
    </row>
    <row r="858" spans="2:2" ht="15.75" customHeight="1">
      <c r="B858" s="15"/>
    </row>
    <row r="859" spans="2:2" ht="15.75" customHeight="1">
      <c r="B859" s="15"/>
    </row>
    <row r="860" spans="2:2" ht="15.75" customHeight="1">
      <c r="B860" s="15"/>
    </row>
    <row r="861" spans="2:2" ht="15.75" customHeight="1">
      <c r="B861" s="15"/>
    </row>
    <row r="862" spans="2:2" ht="15.75" customHeight="1">
      <c r="B862" s="15"/>
    </row>
    <row r="863" spans="2:2" ht="15.75" customHeight="1">
      <c r="B863" s="15"/>
    </row>
    <row r="864" spans="2:2" ht="15.75" customHeight="1">
      <c r="B864" s="15"/>
    </row>
    <row r="865" spans="2:2" ht="15.75" customHeight="1">
      <c r="B865" s="15"/>
    </row>
    <row r="866" spans="2:2" ht="15.75" customHeight="1">
      <c r="B866" s="15"/>
    </row>
    <row r="867" spans="2:2" ht="15.75" customHeight="1">
      <c r="B867" s="15"/>
    </row>
    <row r="868" spans="2:2" ht="15.75" customHeight="1">
      <c r="B868" s="15"/>
    </row>
    <row r="869" spans="2:2" ht="15.75" customHeight="1">
      <c r="B869" s="15"/>
    </row>
    <row r="870" spans="2:2" ht="15.75" customHeight="1">
      <c r="B870" s="15"/>
    </row>
    <row r="871" spans="2:2" ht="15.75" customHeight="1">
      <c r="B871" s="15"/>
    </row>
    <row r="872" spans="2:2" ht="15.75" customHeight="1">
      <c r="B872" s="15"/>
    </row>
    <row r="873" spans="2:2" ht="15.75" customHeight="1">
      <c r="B873" s="15"/>
    </row>
    <row r="874" spans="2:2" ht="15.75" customHeight="1">
      <c r="B874" s="15"/>
    </row>
    <row r="875" spans="2:2" ht="15.75" customHeight="1">
      <c r="B875" s="15"/>
    </row>
    <row r="876" spans="2:2" ht="15.75" customHeight="1">
      <c r="B876" s="15"/>
    </row>
    <row r="877" spans="2:2" ht="15.75" customHeight="1">
      <c r="B877" s="15"/>
    </row>
    <row r="878" spans="2:2" ht="15.75" customHeight="1">
      <c r="B878" s="15"/>
    </row>
    <row r="879" spans="2:2" ht="15.75" customHeight="1">
      <c r="B879" s="15"/>
    </row>
    <row r="880" spans="2:2" ht="15.75" customHeight="1">
      <c r="B880" s="15"/>
    </row>
    <row r="881" spans="2:2" ht="15.75" customHeight="1">
      <c r="B881" s="15"/>
    </row>
    <row r="882" spans="2:2" ht="15.75" customHeight="1">
      <c r="B882" s="15"/>
    </row>
    <row r="883" spans="2:2" ht="15.75" customHeight="1">
      <c r="B883" s="15"/>
    </row>
    <row r="884" spans="2:2" ht="15.75" customHeight="1">
      <c r="B884" s="15"/>
    </row>
    <row r="885" spans="2:2" ht="15.75" customHeight="1">
      <c r="B885" s="15"/>
    </row>
    <row r="886" spans="2:2" ht="15.75" customHeight="1">
      <c r="B886" s="15"/>
    </row>
    <row r="887" spans="2:2" ht="15.75" customHeight="1">
      <c r="B887" s="15"/>
    </row>
    <row r="888" spans="2:2" ht="15.75" customHeight="1">
      <c r="B888" s="15"/>
    </row>
    <row r="889" spans="2:2" ht="15.75" customHeight="1">
      <c r="B889" s="15"/>
    </row>
    <row r="890" spans="2:2" ht="15.75" customHeight="1">
      <c r="B890" s="15"/>
    </row>
    <row r="891" spans="2:2" ht="15.75" customHeight="1">
      <c r="B891" s="15"/>
    </row>
    <row r="892" spans="2:2" ht="15.75" customHeight="1">
      <c r="B892" s="15"/>
    </row>
    <row r="893" spans="2:2" ht="15.75" customHeight="1">
      <c r="B893" s="15"/>
    </row>
    <row r="894" spans="2:2" ht="15.75" customHeight="1">
      <c r="B894" s="15"/>
    </row>
    <row r="895" spans="2:2" ht="15.75" customHeight="1">
      <c r="B895" s="15"/>
    </row>
    <row r="896" spans="2:2" ht="15.75" customHeight="1">
      <c r="B896" s="15"/>
    </row>
    <row r="897" spans="2:2" ht="15.75" customHeight="1">
      <c r="B897" s="15"/>
    </row>
    <row r="898" spans="2:2" ht="15.75" customHeight="1">
      <c r="B898" s="15"/>
    </row>
    <row r="899" spans="2:2" ht="15.75" customHeight="1">
      <c r="B899" s="15"/>
    </row>
    <row r="900" spans="2:2" ht="15.75" customHeight="1">
      <c r="B900" s="15"/>
    </row>
    <row r="901" spans="2:2" ht="15.75" customHeight="1">
      <c r="B901" s="15"/>
    </row>
    <row r="902" spans="2:2" ht="15.75" customHeight="1">
      <c r="B902" s="15"/>
    </row>
    <row r="903" spans="2:2" ht="15.75" customHeight="1">
      <c r="B903" s="15"/>
    </row>
    <row r="904" spans="2:2" ht="15.75" customHeight="1">
      <c r="B904" s="15"/>
    </row>
    <row r="905" spans="2:2" ht="15.75" customHeight="1">
      <c r="B905" s="15"/>
    </row>
    <row r="906" spans="2:2" ht="15.75" customHeight="1">
      <c r="B906" s="15"/>
    </row>
    <row r="907" spans="2:2" ht="15.75" customHeight="1">
      <c r="B907" s="15"/>
    </row>
    <row r="908" spans="2:2" ht="15.75" customHeight="1">
      <c r="B908" s="15"/>
    </row>
    <row r="909" spans="2:2" ht="15.75" customHeight="1">
      <c r="B909" s="15"/>
    </row>
    <row r="910" spans="2:2" ht="15.75" customHeight="1">
      <c r="B910" s="15"/>
    </row>
    <row r="911" spans="2:2" ht="15.75" customHeight="1">
      <c r="B911" s="15"/>
    </row>
    <row r="912" spans="2:2" ht="15.75" customHeight="1">
      <c r="B912" s="15"/>
    </row>
    <row r="913" spans="2:2" ht="15.75" customHeight="1">
      <c r="B913" s="15"/>
    </row>
    <row r="914" spans="2:2" ht="15.75" customHeight="1">
      <c r="B914" s="15"/>
    </row>
    <row r="915" spans="2:2" ht="15.75" customHeight="1">
      <c r="B915" s="15"/>
    </row>
    <row r="916" spans="2:2" ht="15.75" customHeight="1">
      <c r="B916" s="15"/>
    </row>
    <row r="917" spans="2:2" ht="15.75" customHeight="1">
      <c r="B917" s="15"/>
    </row>
    <row r="918" spans="2:2" ht="15.75" customHeight="1">
      <c r="B918" s="15"/>
    </row>
    <row r="919" spans="2:2" ht="15.75" customHeight="1">
      <c r="B919" s="15"/>
    </row>
    <row r="920" spans="2:2" ht="15.75" customHeight="1">
      <c r="B920" s="15"/>
    </row>
    <row r="921" spans="2:2" ht="15.75" customHeight="1">
      <c r="B921" s="15"/>
    </row>
    <row r="922" spans="2:2" ht="15.75" customHeight="1">
      <c r="B922" s="15"/>
    </row>
    <row r="923" spans="2:2" ht="15.75" customHeight="1">
      <c r="B923" s="15"/>
    </row>
    <row r="924" spans="2:2" ht="15.75" customHeight="1">
      <c r="B924" s="15"/>
    </row>
    <row r="925" spans="2:2" ht="15.75" customHeight="1">
      <c r="B925" s="15"/>
    </row>
    <row r="926" spans="2:2" ht="15.75" customHeight="1">
      <c r="B926" s="15"/>
    </row>
    <row r="927" spans="2:2" ht="15.75" customHeight="1">
      <c r="B927" s="15"/>
    </row>
    <row r="928" spans="2:2" ht="15.75" customHeight="1">
      <c r="B928" s="15"/>
    </row>
    <row r="929" spans="2:2" ht="15.75" customHeight="1">
      <c r="B929" s="15"/>
    </row>
    <row r="930" spans="2:2" ht="15.75" customHeight="1">
      <c r="B930" s="15"/>
    </row>
    <row r="931" spans="2:2" ht="15.75" customHeight="1">
      <c r="B931" s="15"/>
    </row>
    <row r="932" spans="2:2" ht="15.75" customHeight="1">
      <c r="B932" s="15"/>
    </row>
    <row r="933" spans="2:2" ht="15.75" customHeight="1">
      <c r="B933" s="15"/>
    </row>
    <row r="934" spans="2:2" ht="15.75" customHeight="1">
      <c r="B934" s="15"/>
    </row>
    <row r="935" spans="2:2" ht="15.75" customHeight="1">
      <c r="B935" s="15"/>
    </row>
    <row r="936" spans="2:2" ht="15.75" customHeight="1">
      <c r="B936" s="15"/>
    </row>
    <row r="937" spans="2:2" ht="15.75" customHeight="1">
      <c r="B937" s="15"/>
    </row>
    <row r="938" spans="2:2" ht="15.75" customHeight="1">
      <c r="B938" s="15"/>
    </row>
    <row r="939" spans="2:2" ht="15.75" customHeight="1">
      <c r="B939" s="15"/>
    </row>
    <row r="940" spans="2:2" ht="15.75" customHeight="1">
      <c r="B940" s="15"/>
    </row>
    <row r="941" spans="2:2" ht="15.75" customHeight="1">
      <c r="B941" s="15"/>
    </row>
    <row r="942" spans="2:2" ht="15.75" customHeight="1">
      <c r="B942" s="15"/>
    </row>
    <row r="943" spans="2:2" ht="15.75" customHeight="1">
      <c r="B943" s="15"/>
    </row>
    <row r="944" spans="2:2" ht="15.75" customHeight="1">
      <c r="B944" s="15"/>
    </row>
    <row r="945" spans="2:2" ht="15.75" customHeight="1">
      <c r="B945" s="15"/>
    </row>
    <row r="946" spans="2:2" ht="15.75" customHeight="1">
      <c r="B946" s="15"/>
    </row>
    <row r="947" spans="2:2" ht="15.75" customHeight="1">
      <c r="B947" s="15"/>
    </row>
    <row r="948" spans="2:2" ht="15.75" customHeight="1">
      <c r="B948" s="15"/>
    </row>
    <row r="949" spans="2:2" ht="15.75" customHeight="1">
      <c r="B949" s="15"/>
    </row>
    <row r="950" spans="2:2" ht="15.75" customHeight="1">
      <c r="B950" s="15"/>
    </row>
    <row r="951" spans="2:2" ht="15.75" customHeight="1">
      <c r="B951" s="15"/>
    </row>
    <row r="952" spans="2:2" ht="15.75" customHeight="1">
      <c r="B952" s="15"/>
    </row>
  </sheetData>
  <autoFilter ref="A1:L116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data_tổng_1405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Son-Tuan Nguyen</cp:lastModifiedBy>
  <dcterms:modified xsi:type="dcterms:W3CDTF">2026-05-18T04:36:52Z</dcterms:modified>
</cp:coreProperties>
</file>