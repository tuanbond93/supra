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dd\Desktop\"/>
    </mc:Choice>
  </mc:AlternateContent>
  <xr:revisionPtr revIDLastSave="0" documentId="13_ncr:1_{32B476BC-D3A9-41F8-A1EA-A4BC5A2F719F}" xr6:coauthVersionLast="47" xr6:coauthVersionMax="47" xr10:uidLastSave="{00000000-0000-0000-0000-000000000000}"/>
  <bookViews>
    <workbookView xWindow="-120" yWindow="-120" windowWidth="24240" windowHeight="13140" xr2:uid="{9F0165D6-35E3-439C-8419-2A5612848034}"/>
  </bookViews>
  <sheets>
    <sheet name="Total" sheetId="1" r:id="rId1"/>
  </sheets>
  <definedNames>
    <definedName name="_xlnm._FilterDatabase" localSheetId="0" hidden="1">Total!$A$1:$AB$140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140" i="1" l="1"/>
  <c r="AA140" i="1"/>
  <c r="Z140" i="1"/>
  <c r="W140" i="1"/>
  <c r="T140" i="1"/>
  <c r="O140" i="1"/>
  <c r="J140" i="1"/>
  <c r="I140" i="1"/>
  <c r="H140" i="1"/>
  <c r="B140" i="1"/>
  <c r="AB139" i="1"/>
  <c r="AA139" i="1"/>
  <c r="Z139" i="1"/>
  <c r="W139" i="1"/>
  <c r="T139" i="1"/>
  <c r="O139" i="1"/>
  <c r="J139" i="1"/>
  <c r="I139" i="1"/>
  <c r="H139" i="1"/>
  <c r="B139" i="1"/>
  <c r="AB138" i="1"/>
  <c r="AA138" i="1"/>
  <c r="Z138" i="1"/>
  <c r="W138" i="1"/>
  <c r="T138" i="1"/>
  <c r="O138" i="1"/>
  <c r="J138" i="1"/>
  <c r="I138" i="1"/>
  <c r="H138" i="1"/>
  <c r="B138" i="1"/>
  <c r="AB137" i="1"/>
  <c r="AA137" i="1"/>
  <c r="Z137" i="1"/>
  <c r="W137" i="1"/>
  <c r="T137" i="1"/>
  <c r="O137" i="1"/>
  <c r="J137" i="1"/>
  <c r="I137" i="1"/>
  <c r="H137" i="1"/>
  <c r="B137" i="1"/>
  <c r="AB136" i="1"/>
  <c r="AA136" i="1"/>
  <c r="Z136" i="1"/>
  <c r="W136" i="1"/>
  <c r="T136" i="1"/>
  <c r="O136" i="1"/>
  <c r="J136" i="1"/>
  <c r="I136" i="1"/>
  <c r="H136" i="1"/>
  <c r="B136" i="1"/>
  <c r="AB135" i="1"/>
  <c r="AA135" i="1"/>
  <c r="Z135" i="1"/>
  <c r="W135" i="1"/>
  <c r="T135" i="1"/>
  <c r="O135" i="1"/>
  <c r="J135" i="1"/>
  <c r="I135" i="1"/>
  <c r="H135" i="1"/>
  <c r="B135" i="1"/>
  <c r="AB134" i="1"/>
  <c r="AA134" i="1"/>
  <c r="Z134" i="1"/>
  <c r="W134" i="1"/>
  <c r="T134" i="1"/>
  <c r="O134" i="1"/>
  <c r="J134" i="1"/>
  <c r="I134" i="1"/>
  <c r="H134" i="1"/>
  <c r="B134" i="1"/>
  <c r="AB133" i="1"/>
  <c r="AA133" i="1"/>
  <c r="Z133" i="1"/>
  <c r="W133" i="1"/>
  <c r="T133" i="1"/>
  <c r="O133" i="1"/>
  <c r="J133" i="1"/>
  <c r="I133" i="1"/>
  <c r="H133" i="1"/>
  <c r="B133" i="1"/>
  <c r="AB132" i="1"/>
  <c r="AA132" i="1"/>
  <c r="Z132" i="1"/>
  <c r="W132" i="1"/>
  <c r="T132" i="1"/>
  <c r="O132" i="1"/>
  <c r="J132" i="1"/>
  <c r="I132" i="1"/>
  <c r="H132" i="1"/>
  <c r="B132" i="1"/>
  <c r="AB131" i="1"/>
  <c r="AA131" i="1"/>
  <c r="Z131" i="1"/>
  <c r="W131" i="1"/>
  <c r="T131" i="1"/>
  <c r="O131" i="1"/>
  <c r="J131" i="1"/>
  <c r="I131" i="1"/>
  <c r="H131" i="1"/>
  <c r="B131" i="1"/>
  <c r="AB130" i="1"/>
  <c r="AA130" i="1"/>
  <c r="Z130" i="1"/>
  <c r="W130" i="1"/>
  <c r="T130" i="1"/>
  <c r="O130" i="1"/>
  <c r="J130" i="1"/>
  <c r="I130" i="1"/>
  <c r="H130" i="1"/>
  <c r="B130" i="1"/>
  <c r="AB129" i="1"/>
  <c r="AA129" i="1"/>
  <c r="Z129" i="1"/>
  <c r="W129" i="1"/>
  <c r="T129" i="1"/>
  <c r="O129" i="1"/>
  <c r="J129" i="1"/>
  <c r="I129" i="1"/>
  <c r="H129" i="1"/>
  <c r="B129" i="1"/>
  <c r="AB128" i="1"/>
  <c r="AA128" i="1"/>
  <c r="Z128" i="1"/>
  <c r="W128" i="1"/>
  <c r="T128" i="1"/>
  <c r="O128" i="1"/>
  <c r="J128" i="1"/>
  <c r="I128" i="1"/>
  <c r="H128" i="1"/>
  <c r="B128" i="1"/>
  <c r="AB127" i="1"/>
  <c r="AA127" i="1"/>
  <c r="Z127" i="1"/>
  <c r="W127" i="1"/>
  <c r="T127" i="1"/>
  <c r="O127" i="1"/>
  <c r="J127" i="1"/>
  <c r="I127" i="1"/>
  <c r="H127" i="1"/>
  <c r="B127" i="1"/>
  <c r="AB126" i="1"/>
  <c r="AA126" i="1"/>
  <c r="Z126" i="1"/>
  <c r="W126" i="1"/>
  <c r="T126" i="1"/>
  <c r="O126" i="1"/>
  <c r="J126" i="1"/>
  <c r="I126" i="1"/>
  <c r="H126" i="1"/>
  <c r="B126" i="1"/>
  <c r="AB125" i="1"/>
  <c r="AA125" i="1"/>
  <c r="Z125" i="1"/>
  <c r="W125" i="1"/>
  <c r="T125" i="1"/>
  <c r="O125" i="1"/>
  <c r="J125" i="1"/>
  <c r="I125" i="1"/>
  <c r="H125" i="1"/>
  <c r="B125" i="1"/>
  <c r="AB124" i="1"/>
  <c r="AA124" i="1"/>
  <c r="Z124" i="1"/>
  <c r="W124" i="1"/>
  <c r="T124" i="1"/>
  <c r="O124" i="1"/>
  <c r="J124" i="1"/>
  <c r="I124" i="1"/>
  <c r="H124" i="1"/>
  <c r="B124" i="1"/>
  <c r="AB123" i="1"/>
  <c r="AA123" i="1"/>
  <c r="Z123" i="1"/>
  <c r="W123" i="1"/>
  <c r="T123" i="1"/>
  <c r="O123" i="1"/>
  <c r="J123" i="1"/>
  <c r="I123" i="1"/>
  <c r="H123" i="1"/>
  <c r="B123" i="1"/>
  <c r="AB122" i="1"/>
  <c r="AA122" i="1"/>
  <c r="Z122" i="1"/>
  <c r="W122" i="1"/>
  <c r="T122" i="1"/>
  <c r="O122" i="1"/>
  <c r="J122" i="1"/>
  <c r="I122" i="1"/>
  <c r="H122" i="1"/>
  <c r="B122" i="1"/>
  <c r="AB121" i="1"/>
  <c r="AA121" i="1"/>
  <c r="Z121" i="1"/>
  <c r="W121" i="1"/>
  <c r="T121" i="1"/>
  <c r="O121" i="1"/>
  <c r="J121" i="1"/>
  <c r="I121" i="1"/>
  <c r="H121" i="1"/>
  <c r="B121" i="1"/>
  <c r="AB120" i="1"/>
  <c r="AA120" i="1"/>
  <c r="Z120" i="1"/>
  <c r="W120" i="1"/>
  <c r="T120" i="1"/>
  <c r="O120" i="1"/>
  <c r="J120" i="1"/>
  <c r="I120" i="1"/>
  <c r="H120" i="1"/>
  <c r="B120" i="1"/>
  <c r="AB119" i="1"/>
  <c r="AA119" i="1"/>
  <c r="Z119" i="1"/>
  <c r="W119" i="1"/>
  <c r="T119" i="1"/>
  <c r="O119" i="1"/>
  <c r="J119" i="1"/>
  <c r="I119" i="1"/>
  <c r="H119" i="1"/>
  <c r="B119" i="1"/>
  <c r="AB118" i="1"/>
  <c r="AA118" i="1"/>
  <c r="Z118" i="1"/>
  <c r="W118" i="1"/>
  <c r="T118" i="1"/>
  <c r="O118" i="1"/>
  <c r="J118" i="1"/>
  <c r="I118" i="1"/>
  <c r="H118" i="1"/>
  <c r="B118" i="1"/>
  <c r="AB117" i="1"/>
  <c r="AA117" i="1"/>
  <c r="Z117" i="1"/>
  <c r="W117" i="1"/>
  <c r="T117" i="1"/>
  <c r="O117" i="1"/>
  <c r="J117" i="1"/>
  <c r="I117" i="1"/>
  <c r="H117" i="1"/>
  <c r="B117" i="1"/>
  <c r="AB116" i="1"/>
  <c r="AA116" i="1"/>
  <c r="Z116" i="1"/>
  <c r="W116" i="1"/>
  <c r="T116" i="1"/>
  <c r="O116" i="1"/>
  <c r="J116" i="1"/>
  <c r="I116" i="1"/>
  <c r="H116" i="1"/>
  <c r="B116" i="1"/>
  <c r="AB115" i="1"/>
  <c r="AA115" i="1"/>
  <c r="Z115" i="1"/>
  <c r="W115" i="1"/>
  <c r="T115" i="1"/>
  <c r="O115" i="1"/>
  <c r="J115" i="1"/>
  <c r="I115" i="1"/>
  <c r="H115" i="1"/>
  <c r="B115" i="1"/>
  <c r="AB114" i="1"/>
  <c r="AA114" i="1"/>
  <c r="Z114" i="1"/>
  <c r="W114" i="1"/>
  <c r="T114" i="1"/>
  <c r="O114" i="1"/>
  <c r="J114" i="1"/>
  <c r="I114" i="1"/>
  <c r="H114" i="1"/>
  <c r="B114" i="1"/>
  <c r="AB113" i="1"/>
  <c r="AA113" i="1"/>
  <c r="Z113" i="1"/>
  <c r="W113" i="1"/>
  <c r="T113" i="1"/>
  <c r="O113" i="1"/>
  <c r="J113" i="1"/>
  <c r="I113" i="1"/>
  <c r="H113" i="1"/>
  <c r="B113" i="1"/>
  <c r="AB112" i="1"/>
  <c r="AA112" i="1"/>
  <c r="Z112" i="1"/>
  <c r="W112" i="1"/>
  <c r="T112" i="1"/>
  <c r="O112" i="1"/>
  <c r="J112" i="1"/>
  <c r="I112" i="1"/>
  <c r="H112" i="1"/>
  <c r="B112" i="1"/>
  <c r="AB111" i="1"/>
  <c r="AA111" i="1"/>
  <c r="Z111" i="1"/>
  <c r="W111" i="1"/>
  <c r="T111" i="1"/>
  <c r="O111" i="1"/>
  <c r="J111" i="1"/>
  <c r="I111" i="1"/>
  <c r="H111" i="1"/>
  <c r="B111" i="1"/>
  <c r="AB110" i="1"/>
  <c r="AA110" i="1"/>
  <c r="Z110" i="1"/>
  <c r="W110" i="1"/>
  <c r="T110" i="1"/>
  <c r="O110" i="1"/>
  <c r="J110" i="1"/>
  <c r="I110" i="1"/>
  <c r="H110" i="1"/>
  <c r="B110" i="1"/>
  <c r="AB109" i="1"/>
  <c r="AA109" i="1"/>
  <c r="Z109" i="1"/>
  <c r="W109" i="1"/>
  <c r="T109" i="1"/>
  <c r="O109" i="1"/>
  <c r="J109" i="1"/>
  <c r="I109" i="1"/>
  <c r="H109" i="1"/>
  <c r="B109" i="1"/>
  <c r="AB108" i="1"/>
  <c r="AA108" i="1"/>
  <c r="Z108" i="1"/>
  <c r="W108" i="1"/>
  <c r="T108" i="1"/>
  <c r="O108" i="1"/>
  <c r="J108" i="1"/>
  <c r="I108" i="1"/>
  <c r="H108" i="1"/>
  <c r="B108" i="1"/>
  <c r="AB107" i="1"/>
  <c r="AA107" i="1"/>
  <c r="Z107" i="1"/>
  <c r="W107" i="1"/>
  <c r="T107" i="1"/>
  <c r="O107" i="1"/>
  <c r="J107" i="1"/>
  <c r="I107" i="1"/>
  <c r="H107" i="1"/>
  <c r="B107" i="1"/>
  <c r="AB106" i="1"/>
  <c r="AA106" i="1"/>
  <c r="Z106" i="1"/>
  <c r="W106" i="1"/>
  <c r="T106" i="1"/>
  <c r="O106" i="1"/>
  <c r="J106" i="1"/>
  <c r="I106" i="1"/>
  <c r="H106" i="1"/>
  <c r="B106" i="1"/>
  <c r="AB105" i="1"/>
  <c r="AA105" i="1"/>
  <c r="Z105" i="1"/>
  <c r="W105" i="1"/>
  <c r="T105" i="1"/>
  <c r="O105" i="1"/>
  <c r="J105" i="1"/>
  <c r="I105" i="1"/>
  <c r="H105" i="1"/>
  <c r="B105" i="1"/>
  <c r="AB104" i="1"/>
  <c r="AA104" i="1"/>
  <c r="Z104" i="1"/>
  <c r="W104" i="1"/>
  <c r="T104" i="1"/>
  <c r="O104" i="1"/>
  <c r="J104" i="1"/>
  <c r="I104" i="1"/>
  <c r="H104" i="1"/>
  <c r="B104" i="1"/>
  <c r="AB103" i="1"/>
  <c r="AA103" i="1"/>
  <c r="Z103" i="1"/>
  <c r="W103" i="1"/>
  <c r="T103" i="1"/>
  <c r="O103" i="1"/>
  <c r="J103" i="1"/>
  <c r="I103" i="1"/>
  <c r="H103" i="1"/>
  <c r="B103" i="1"/>
  <c r="AB102" i="1"/>
  <c r="AA102" i="1"/>
  <c r="Z102" i="1"/>
  <c r="W102" i="1"/>
  <c r="T102" i="1"/>
  <c r="O102" i="1"/>
  <c r="J102" i="1"/>
  <c r="I102" i="1"/>
  <c r="H102" i="1"/>
  <c r="B102" i="1"/>
  <c r="AB101" i="1"/>
  <c r="AA101" i="1"/>
  <c r="Z101" i="1"/>
  <c r="W101" i="1"/>
  <c r="T101" i="1"/>
  <c r="O101" i="1"/>
  <c r="J101" i="1"/>
  <c r="I101" i="1"/>
  <c r="H101" i="1"/>
  <c r="B101" i="1"/>
  <c r="AB100" i="1"/>
  <c r="AA100" i="1"/>
  <c r="Z100" i="1"/>
  <c r="W100" i="1"/>
  <c r="T100" i="1"/>
  <c r="O100" i="1"/>
  <c r="J100" i="1"/>
  <c r="I100" i="1"/>
  <c r="H100" i="1"/>
  <c r="B100" i="1"/>
  <c r="AB99" i="1"/>
  <c r="AA99" i="1"/>
  <c r="Z99" i="1"/>
  <c r="W99" i="1"/>
  <c r="T99" i="1"/>
  <c r="O99" i="1"/>
  <c r="J99" i="1"/>
  <c r="I99" i="1"/>
  <c r="H99" i="1"/>
  <c r="B99" i="1"/>
  <c r="AB98" i="1"/>
  <c r="AA98" i="1"/>
  <c r="Z98" i="1"/>
  <c r="W98" i="1"/>
  <c r="T98" i="1"/>
  <c r="O98" i="1"/>
  <c r="J98" i="1"/>
  <c r="I98" i="1"/>
  <c r="H98" i="1"/>
  <c r="B98" i="1"/>
  <c r="AB97" i="1"/>
  <c r="AA97" i="1"/>
  <c r="Z97" i="1"/>
  <c r="W97" i="1"/>
  <c r="T97" i="1"/>
  <c r="O97" i="1"/>
  <c r="J97" i="1"/>
  <c r="I97" i="1"/>
  <c r="H97" i="1"/>
  <c r="B97" i="1"/>
  <c r="AB96" i="1"/>
  <c r="AA96" i="1"/>
  <c r="Z96" i="1"/>
  <c r="W96" i="1"/>
  <c r="T96" i="1"/>
  <c r="O96" i="1"/>
  <c r="J96" i="1"/>
  <c r="I96" i="1"/>
  <c r="H96" i="1"/>
  <c r="B96" i="1"/>
  <c r="AB95" i="1"/>
  <c r="AA95" i="1"/>
  <c r="Z95" i="1"/>
  <c r="W95" i="1"/>
  <c r="T95" i="1"/>
  <c r="O95" i="1"/>
  <c r="J95" i="1"/>
  <c r="I95" i="1"/>
  <c r="H95" i="1"/>
  <c r="B95" i="1"/>
  <c r="AB94" i="1"/>
  <c r="AA94" i="1"/>
  <c r="Z94" i="1"/>
  <c r="W94" i="1"/>
  <c r="T94" i="1"/>
  <c r="O94" i="1"/>
  <c r="J94" i="1"/>
  <c r="I94" i="1"/>
  <c r="H94" i="1"/>
  <c r="B94" i="1"/>
  <c r="AB93" i="1"/>
  <c r="AA93" i="1"/>
  <c r="Z93" i="1"/>
  <c r="W93" i="1"/>
  <c r="T93" i="1"/>
  <c r="O93" i="1"/>
  <c r="J93" i="1"/>
  <c r="I93" i="1"/>
  <c r="H93" i="1"/>
  <c r="B93" i="1"/>
  <c r="AB92" i="1"/>
  <c r="AA92" i="1"/>
  <c r="Z92" i="1"/>
  <c r="W92" i="1"/>
  <c r="T92" i="1"/>
  <c r="O92" i="1"/>
  <c r="J92" i="1"/>
  <c r="I92" i="1"/>
  <c r="H92" i="1"/>
  <c r="B92" i="1"/>
  <c r="AB91" i="1"/>
  <c r="AA91" i="1"/>
  <c r="Z91" i="1"/>
  <c r="W91" i="1"/>
  <c r="T91" i="1"/>
  <c r="O91" i="1"/>
  <c r="J91" i="1"/>
  <c r="I91" i="1"/>
  <c r="H91" i="1"/>
  <c r="B91" i="1"/>
  <c r="AB90" i="1"/>
  <c r="AA90" i="1"/>
  <c r="Z90" i="1"/>
  <c r="W90" i="1"/>
  <c r="T90" i="1"/>
  <c r="O90" i="1"/>
  <c r="J90" i="1"/>
  <c r="I90" i="1"/>
  <c r="H90" i="1"/>
  <c r="B90" i="1"/>
  <c r="AB89" i="1"/>
  <c r="AA89" i="1"/>
  <c r="Z89" i="1"/>
  <c r="W89" i="1"/>
  <c r="T89" i="1"/>
  <c r="O89" i="1"/>
  <c r="J89" i="1"/>
  <c r="I89" i="1"/>
  <c r="H89" i="1"/>
  <c r="B89" i="1"/>
  <c r="AB88" i="1"/>
  <c r="AA88" i="1"/>
  <c r="Z88" i="1"/>
  <c r="W88" i="1"/>
  <c r="T88" i="1"/>
  <c r="O88" i="1"/>
  <c r="J88" i="1"/>
  <c r="I88" i="1"/>
  <c r="H88" i="1"/>
  <c r="B88" i="1"/>
  <c r="AB87" i="1"/>
  <c r="AA87" i="1"/>
  <c r="Z87" i="1"/>
  <c r="W87" i="1"/>
  <c r="T87" i="1"/>
  <c r="O87" i="1"/>
  <c r="J87" i="1"/>
  <c r="I87" i="1"/>
  <c r="H87" i="1"/>
  <c r="B87" i="1"/>
  <c r="AB86" i="1"/>
  <c r="AA86" i="1"/>
  <c r="Z86" i="1"/>
  <c r="W86" i="1"/>
  <c r="T86" i="1"/>
  <c r="O86" i="1"/>
  <c r="J86" i="1"/>
  <c r="I86" i="1"/>
  <c r="H86" i="1"/>
  <c r="B86" i="1"/>
  <c r="AB85" i="1"/>
  <c r="AA85" i="1"/>
  <c r="Z85" i="1"/>
  <c r="W85" i="1"/>
  <c r="T85" i="1"/>
  <c r="O85" i="1"/>
  <c r="J85" i="1"/>
  <c r="I85" i="1"/>
  <c r="H85" i="1"/>
  <c r="B85" i="1"/>
  <c r="AB84" i="1"/>
  <c r="AA84" i="1"/>
  <c r="Z84" i="1"/>
  <c r="W84" i="1"/>
  <c r="T84" i="1"/>
  <c r="O84" i="1"/>
  <c r="J84" i="1"/>
  <c r="I84" i="1"/>
  <c r="H84" i="1"/>
  <c r="B84" i="1"/>
  <c r="AB83" i="1"/>
  <c r="AA83" i="1"/>
  <c r="Z83" i="1"/>
  <c r="W83" i="1"/>
  <c r="T83" i="1"/>
  <c r="O83" i="1"/>
  <c r="J83" i="1"/>
  <c r="I83" i="1"/>
  <c r="H83" i="1"/>
  <c r="B83" i="1"/>
  <c r="AB82" i="1"/>
  <c r="AA82" i="1"/>
  <c r="Z82" i="1"/>
  <c r="W82" i="1"/>
  <c r="T82" i="1"/>
  <c r="O82" i="1"/>
  <c r="J82" i="1"/>
  <c r="I82" i="1"/>
  <c r="H82" i="1"/>
  <c r="B82" i="1"/>
  <c r="AB81" i="1"/>
  <c r="AA81" i="1"/>
  <c r="Z81" i="1"/>
  <c r="W81" i="1"/>
  <c r="T81" i="1"/>
  <c r="O81" i="1"/>
  <c r="J81" i="1"/>
  <c r="I81" i="1"/>
  <c r="H81" i="1"/>
  <c r="B81" i="1"/>
  <c r="AB80" i="1"/>
  <c r="AA80" i="1"/>
  <c r="Z80" i="1"/>
  <c r="W80" i="1"/>
  <c r="T80" i="1"/>
  <c r="O80" i="1"/>
  <c r="J80" i="1"/>
  <c r="I80" i="1"/>
  <c r="H80" i="1"/>
  <c r="B80" i="1"/>
  <c r="AB79" i="1"/>
  <c r="AA79" i="1"/>
  <c r="Z79" i="1"/>
  <c r="W79" i="1"/>
  <c r="T79" i="1"/>
  <c r="O79" i="1"/>
  <c r="J79" i="1"/>
  <c r="I79" i="1"/>
  <c r="H79" i="1"/>
  <c r="B79" i="1"/>
  <c r="AB78" i="1"/>
  <c r="AA78" i="1"/>
  <c r="Z78" i="1"/>
  <c r="W78" i="1"/>
  <c r="T78" i="1"/>
  <c r="O78" i="1"/>
  <c r="J78" i="1"/>
  <c r="I78" i="1"/>
  <c r="H78" i="1"/>
  <c r="B78" i="1"/>
  <c r="AB77" i="1"/>
  <c r="AA77" i="1"/>
  <c r="Z77" i="1"/>
  <c r="W77" i="1"/>
  <c r="T77" i="1"/>
  <c r="O77" i="1"/>
  <c r="J77" i="1"/>
  <c r="I77" i="1"/>
  <c r="H77" i="1"/>
  <c r="B77" i="1"/>
  <c r="AB76" i="1"/>
  <c r="AA76" i="1"/>
  <c r="Z76" i="1"/>
  <c r="W76" i="1"/>
  <c r="T76" i="1"/>
  <c r="O76" i="1"/>
  <c r="J76" i="1"/>
  <c r="I76" i="1"/>
  <c r="H76" i="1"/>
  <c r="B76" i="1"/>
  <c r="AB75" i="1"/>
  <c r="AA75" i="1"/>
  <c r="Z75" i="1"/>
  <c r="W75" i="1"/>
  <c r="T75" i="1"/>
  <c r="O75" i="1"/>
  <c r="J75" i="1"/>
  <c r="I75" i="1"/>
  <c r="H75" i="1"/>
  <c r="B75" i="1"/>
  <c r="AB74" i="1"/>
  <c r="AA74" i="1"/>
  <c r="Z74" i="1"/>
  <c r="W74" i="1"/>
  <c r="T74" i="1"/>
  <c r="O74" i="1"/>
  <c r="J74" i="1"/>
  <c r="I74" i="1"/>
  <c r="H74" i="1"/>
  <c r="B74" i="1"/>
  <c r="AB73" i="1"/>
  <c r="AA73" i="1"/>
  <c r="Z73" i="1"/>
  <c r="W73" i="1"/>
  <c r="T73" i="1"/>
  <c r="O73" i="1"/>
  <c r="J73" i="1"/>
  <c r="I73" i="1"/>
  <c r="H73" i="1"/>
  <c r="B73" i="1"/>
  <c r="AB72" i="1"/>
  <c r="AA72" i="1"/>
  <c r="Z72" i="1"/>
  <c r="W72" i="1"/>
  <c r="T72" i="1"/>
  <c r="O72" i="1"/>
  <c r="J72" i="1"/>
  <c r="I72" i="1"/>
  <c r="H72" i="1"/>
  <c r="B72" i="1"/>
  <c r="AB71" i="1"/>
  <c r="AA71" i="1"/>
  <c r="Z71" i="1"/>
  <c r="W71" i="1"/>
  <c r="T71" i="1"/>
  <c r="O71" i="1"/>
  <c r="J71" i="1"/>
  <c r="I71" i="1"/>
  <c r="H71" i="1"/>
  <c r="B71" i="1"/>
  <c r="AB70" i="1"/>
  <c r="AA70" i="1"/>
  <c r="Z70" i="1"/>
  <c r="W70" i="1"/>
  <c r="T70" i="1"/>
  <c r="O70" i="1"/>
  <c r="J70" i="1"/>
  <c r="I70" i="1"/>
  <c r="H70" i="1"/>
  <c r="B70" i="1"/>
  <c r="AB69" i="1"/>
  <c r="AA69" i="1"/>
  <c r="Z69" i="1"/>
  <c r="W69" i="1"/>
  <c r="T69" i="1"/>
  <c r="O69" i="1"/>
  <c r="J69" i="1"/>
  <c r="I69" i="1"/>
  <c r="H69" i="1"/>
  <c r="B69" i="1"/>
  <c r="AB68" i="1"/>
  <c r="AA68" i="1"/>
  <c r="Z68" i="1"/>
  <c r="W68" i="1"/>
  <c r="T68" i="1"/>
  <c r="O68" i="1"/>
  <c r="J68" i="1"/>
  <c r="I68" i="1"/>
  <c r="H68" i="1"/>
  <c r="B68" i="1"/>
  <c r="AB67" i="1"/>
  <c r="AA67" i="1"/>
  <c r="Z67" i="1"/>
  <c r="W67" i="1"/>
  <c r="T67" i="1"/>
  <c r="O67" i="1"/>
  <c r="J67" i="1"/>
  <c r="I67" i="1"/>
  <c r="H67" i="1"/>
  <c r="B67" i="1"/>
  <c r="AB66" i="1"/>
  <c r="AA66" i="1"/>
  <c r="Z66" i="1"/>
  <c r="W66" i="1"/>
  <c r="T66" i="1"/>
  <c r="O66" i="1"/>
  <c r="J66" i="1"/>
  <c r="I66" i="1"/>
  <c r="H66" i="1"/>
  <c r="B66" i="1"/>
  <c r="AB65" i="1"/>
  <c r="AA65" i="1"/>
  <c r="Z65" i="1"/>
  <c r="W65" i="1"/>
  <c r="T65" i="1"/>
  <c r="O65" i="1"/>
  <c r="J65" i="1"/>
  <c r="I65" i="1"/>
  <c r="H65" i="1"/>
  <c r="B65" i="1"/>
  <c r="AB64" i="1"/>
  <c r="AA64" i="1"/>
  <c r="Z64" i="1"/>
  <c r="W64" i="1"/>
  <c r="T64" i="1"/>
  <c r="O64" i="1"/>
  <c r="J64" i="1"/>
  <c r="I64" i="1"/>
  <c r="H64" i="1"/>
  <c r="B64" i="1"/>
  <c r="AB63" i="1"/>
  <c r="AA63" i="1"/>
  <c r="Z63" i="1"/>
  <c r="W63" i="1"/>
  <c r="T63" i="1"/>
  <c r="O63" i="1"/>
  <c r="J63" i="1"/>
  <c r="I63" i="1"/>
  <c r="H63" i="1"/>
  <c r="B63" i="1"/>
  <c r="AB62" i="1"/>
  <c r="AA62" i="1"/>
  <c r="Z62" i="1"/>
  <c r="W62" i="1"/>
  <c r="T62" i="1"/>
  <c r="O62" i="1"/>
  <c r="J62" i="1"/>
  <c r="I62" i="1"/>
  <c r="H62" i="1"/>
  <c r="B62" i="1"/>
  <c r="AB61" i="1"/>
  <c r="AA61" i="1"/>
  <c r="Z61" i="1"/>
  <c r="W61" i="1"/>
  <c r="T61" i="1"/>
  <c r="O61" i="1"/>
  <c r="J61" i="1"/>
  <c r="I61" i="1"/>
  <c r="H61" i="1"/>
  <c r="B61" i="1"/>
  <c r="AB60" i="1"/>
  <c r="AA60" i="1"/>
  <c r="Z60" i="1"/>
  <c r="W60" i="1"/>
  <c r="T60" i="1"/>
  <c r="O60" i="1"/>
  <c r="J60" i="1"/>
  <c r="I60" i="1"/>
  <c r="H60" i="1"/>
  <c r="B60" i="1"/>
  <c r="AB59" i="1"/>
  <c r="AA59" i="1"/>
  <c r="Z59" i="1"/>
  <c r="W59" i="1"/>
  <c r="T59" i="1"/>
  <c r="O59" i="1"/>
  <c r="J59" i="1"/>
  <c r="I59" i="1"/>
  <c r="H59" i="1"/>
  <c r="B59" i="1"/>
  <c r="AB58" i="1"/>
  <c r="AA58" i="1"/>
  <c r="Z58" i="1"/>
  <c r="W58" i="1"/>
  <c r="T58" i="1"/>
  <c r="O58" i="1"/>
  <c r="J58" i="1"/>
  <c r="I58" i="1"/>
  <c r="H58" i="1"/>
  <c r="B58" i="1"/>
  <c r="AB57" i="1"/>
  <c r="AA57" i="1"/>
  <c r="Z57" i="1"/>
  <c r="W57" i="1"/>
  <c r="T57" i="1"/>
  <c r="O57" i="1"/>
  <c r="J57" i="1"/>
  <c r="I57" i="1"/>
  <c r="H57" i="1"/>
  <c r="B57" i="1"/>
  <c r="AB56" i="1"/>
  <c r="AA56" i="1"/>
  <c r="Z56" i="1"/>
  <c r="W56" i="1"/>
  <c r="T56" i="1"/>
  <c r="O56" i="1"/>
  <c r="J56" i="1"/>
  <c r="I56" i="1"/>
  <c r="H56" i="1"/>
  <c r="B56" i="1"/>
  <c r="AB55" i="1"/>
  <c r="AA55" i="1"/>
  <c r="Z55" i="1"/>
  <c r="W55" i="1"/>
  <c r="T55" i="1"/>
  <c r="O55" i="1"/>
  <c r="J55" i="1"/>
  <c r="I55" i="1"/>
  <c r="H55" i="1"/>
  <c r="B55" i="1"/>
  <c r="AB54" i="1"/>
  <c r="AA54" i="1"/>
  <c r="Z54" i="1"/>
  <c r="W54" i="1"/>
  <c r="T54" i="1"/>
  <c r="O54" i="1"/>
  <c r="J54" i="1"/>
  <c r="I54" i="1"/>
  <c r="H54" i="1"/>
  <c r="B54" i="1"/>
  <c r="AB53" i="1"/>
  <c r="AA53" i="1"/>
  <c r="Z53" i="1"/>
  <c r="W53" i="1"/>
  <c r="T53" i="1"/>
  <c r="O53" i="1"/>
  <c r="J53" i="1"/>
  <c r="I53" i="1"/>
  <c r="H53" i="1"/>
  <c r="B53" i="1"/>
  <c r="AB52" i="1"/>
  <c r="AA52" i="1"/>
  <c r="Z52" i="1"/>
  <c r="W52" i="1"/>
  <c r="T52" i="1"/>
  <c r="O52" i="1"/>
  <c r="J52" i="1"/>
  <c r="I52" i="1"/>
  <c r="H52" i="1"/>
  <c r="B52" i="1"/>
  <c r="AB51" i="1"/>
  <c r="AA51" i="1"/>
  <c r="Z51" i="1"/>
  <c r="W51" i="1"/>
  <c r="T51" i="1"/>
  <c r="O51" i="1"/>
  <c r="J51" i="1"/>
  <c r="I51" i="1"/>
  <c r="H51" i="1"/>
  <c r="B51" i="1"/>
  <c r="AB50" i="1"/>
  <c r="AA50" i="1"/>
  <c r="Z50" i="1"/>
  <c r="W50" i="1"/>
  <c r="T50" i="1"/>
  <c r="O50" i="1"/>
  <c r="J50" i="1"/>
  <c r="I50" i="1"/>
  <c r="H50" i="1"/>
  <c r="B50" i="1"/>
  <c r="AB49" i="1"/>
  <c r="AA49" i="1"/>
  <c r="Z49" i="1"/>
  <c r="W49" i="1"/>
  <c r="T49" i="1"/>
  <c r="O49" i="1"/>
  <c r="J49" i="1"/>
  <c r="I49" i="1"/>
  <c r="H49" i="1"/>
  <c r="B49" i="1"/>
  <c r="AB48" i="1"/>
  <c r="AA48" i="1"/>
  <c r="Z48" i="1"/>
  <c r="W48" i="1"/>
  <c r="T48" i="1"/>
  <c r="O48" i="1"/>
  <c r="J48" i="1"/>
  <c r="I48" i="1"/>
  <c r="H48" i="1"/>
  <c r="B48" i="1"/>
  <c r="AB47" i="1"/>
  <c r="AA47" i="1"/>
  <c r="Z47" i="1"/>
  <c r="W47" i="1"/>
  <c r="T47" i="1"/>
  <c r="O47" i="1"/>
  <c r="J47" i="1"/>
  <c r="I47" i="1"/>
  <c r="H47" i="1"/>
  <c r="B47" i="1"/>
  <c r="AB46" i="1"/>
  <c r="AA46" i="1"/>
  <c r="Z46" i="1"/>
  <c r="W46" i="1"/>
  <c r="T46" i="1"/>
  <c r="O46" i="1"/>
  <c r="J46" i="1"/>
  <c r="I46" i="1"/>
  <c r="H46" i="1"/>
  <c r="B46" i="1"/>
  <c r="AB45" i="1"/>
  <c r="AA45" i="1"/>
  <c r="Z45" i="1"/>
  <c r="W45" i="1"/>
  <c r="T45" i="1"/>
  <c r="O45" i="1"/>
  <c r="J45" i="1"/>
  <c r="I45" i="1"/>
  <c r="H45" i="1"/>
  <c r="B45" i="1"/>
  <c r="AB44" i="1"/>
  <c r="AA44" i="1"/>
  <c r="Z44" i="1"/>
  <c r="W44" i="1"/>
  <c r="T44" i="1"/>
  <c r="O44" i="1"/>
  <c r="J44" i="1"/>
  <c r="I44" i="1"/>
  <c r="H44" i="1"/>
  <c r="B44" i="1"/>
  <c r="AB43" i="1"/>
  <c r="AA43" i="1"/>
  <c r="Z43" i="1"/>
  <c r="W43" i="1"/>
  <c r="T43" i="1"/>
  <c r="O43" i="1"/>
  <c r="J43" i="1"/>
  <c r="I43" i="1"/>
  <c r="H43" i="1"/>
  <c r="B43" i="1"/>
  <c r="AB42" i="1"/>
  <c r="AA42" i="1"/>
  <c r="Z42" i="1"/>
  <c r="W42" i="1"/>
  <c r="T42" i="1"/>
  <c r="O42" i="1"/>
  <c r="J42" i="1"/>
  <c r="I42" i="1"/>
  <c r="H42" i="1"/>
  <c r="B42" i="1"/>
  <c r="AB41" i="1"/>
  <c r="AA41" i="1"/>
  <c r="Z41" i="1"/>
  <c r="W41" i="1"/>
  <c r="T41" i="1"/>
  <c r="O41" i="1"/>
  <c r="J41" i="1"/>
  <c r="I41" i="1"/>
  <c r="H41" i="1"/>
  <c r="B41" i="1"/>
  <c r="AB40" i="1"/>
  <c r="AA40" i="1"/>
  <c r="Z40" i="1"/>
  <c r="W40" i="1"/>
  <c r="T40" i="1"/>
  <c r="O40" i="1"/>
  <c r="J40" i="1"/>
  <c r="I40" i="1"/>
  <c r="H40" i="1"/>
  <c r="B40" i="1"/>
  <c r="AB39" i="1"/>
  <c r="AA39" i="1"/>
  <c r="Z39" i="1"/>
  <c r="W39" i="1"/>
  <c r="T39" i="1"/>
  <c r="O39" i="1"/>
  <c r="J39" i="1"/>
  <c r="I39" i="1"/>
  <c r="H39" i="1"/>
  <c r="B39" i="1"/>
  <c r="AB38" i="1"/>
  <c r="AA38" i="1"/>
  <c r="Z38" i="1"/>
  <c r="W38" i="1"/>
  <c r="T38" i="1"/>
  <c r="O38" i="1"/>
  <c r="J38" i="1"/>
  <c r="I38" i="1"/>
  <c r="H38" i="1"/>
  <c r="B38" i="1"/>
  <c r="AB37" i="1"/>
  <c r="AA37" i="1"/>
  <c r="Z37" i="1"/>
  <c r="W37" i="1"/>
  <c r="T37" i="1"/>
  <c r="O37" i="1"/>
  <c r="J37" i="1"/>
  <c r="I37" i="1"/>
  <c r="H37" i="1"/>
  <c r="B37" i="1"/>
  <c r="AB36" i="1"/>
  <c r="AA36" i="1"/>
  <c r="Z36" i="1"/>
  <c r="W36" i="1"/>
  <c r="T36" i="1"/>
  <c r="O36" i="1"/>
  <c r="J36" i="1"/>
  <c r="I36" i="1"/>
  <c r="H36" i="1"/>
  <c r="B36" i="1"/>
  <c r="AB35" i="1"/>
  <c r="AA35" i="1"/>
  <c r="Z35" i="1"/>
  <c r="W35" i="1"/>
  <c r="T35" i="1"/>
  <c r="O35" i="1"/>
  <c r="J35" i="1"/>
  <c r="I35" i="1"/>
  <c r="H35" i="1"/>
  <c r="B35" i="1"/>
  <c r="AB34" i="1"/>
  <c r="AA34" i="1"/>
  <c r="Z34" i="1"/>
  <c r="W34" i="1"/>
  <c r="T34" i="1"/>
  <c r="O34" i="1"/>
  <c r="J34" i="1"/>
  <c r="I34" i="1"/>
  <c r="H34" i="1"/>
  <c r="B34" i="1"/>
  <c r="AB33" i="1"/>
  <c r="AA33" i="1"/>
  <c r="Z33" i="1"/>
  <c r="W33" i="1"/>
  <c r="T33" i="1"/>
  <c r="O33" i="1"/>
  <c r="J33" i="1"/>
  <c r="I33" i="1"/>
  <c r="H33" i="1"/>
  <c r="B33" i="1"/>
  <c r="AB32" i="1"/>
  <c r="AA32" i="1"/>
  <c r="Z32" i="1"/>
  <c r="W32" i="1"/>
  <c r="T32" i="1"/>
  <c r="O32" i="1"/>
  <c r="J32" i="1"/>
  <c r="I32" i="1"/>
  <c r="H32" i="1"/>
  <c r="B32" i="1"/>
  <c r="AB31" i="1"/>
  <c r="AA31" i="1"/>
  <c r="Z31" i="1"/>
  <c r="W31" i="1"/>
  <c r="T31" i="1"/>
  <c r="O31" i="1"/>
  <c r="J31" i="1"/>
  <c r="I31" i="1"/>
  <c r="H31" i="1"/>
  <c r="B31" i="1"/>
  <c r="AB30" i="1"/>
  <c r="AA30" i="1"/>
  <c r="Z30" i="1"/>
  <c r="W30" i="1"/>
  <c r="T30" i="1"/>
  <c r="O30" i="1"/>
  <c r="J30" i="1"/>
  <c r="I30" i="1"/>
  <c r="H30" i="1"/>
  <c r="B30" i="1"/>
  <c r="AB29" i="1"/>
  <c r="AA29" i="1"/>
  <c r="Z29" i="1"/>
  <c r="W29" i="1"/>
  <c r="T29" i="1"/>
  <c r="O29" i="1"/>
  <c r="J29" i="1"/>
  <c r="I29" i="1"/>
  <c r="H29" i="1"/>
  <c r="B29" i="1"/>
  <c r="AB28" i="1"/>
  <c r="AA28" i="1"/>
  <c r="Z28" i="1"/>
  <c r="W28" i="1"/>
  <c r="T28" i="1"/>
  <c r="O28" i="1"/>
  <c r="J28" i="1"/>
  <c r="I28" i="1"/>
  <c r="H28" i="1"/>
  <c r="B28" i="1"/>
  <c r="AB27" i="1"/>
  <c r="AA27" i="1"/>
  <c r="Z27" i="1"/>
  <c r="W27" i="1"/>
  <c r="T27" i="1"/>
  <c r="O27" i="1"/>
  <c r="J27" i="1"/>
  <c r="I27" i="1"/>
  <c r="H27" i="1"/>
  <c r="B27" i="1"/>
  <c r="AB26" i="1"/>
  <c r="AA26" i="1"/>
  <c r="Z26" i="1"/>
  <c r="W26" i="1"/>
  <c r="T26" i="1"/>
  <c r="O26" i="1"/>
  <c r="J26" i="1"/>
  <c r="I26" i="1"/>
  <c r="H26" i="1"/>
  <c r="B26" i="1"/>
  <c r="AB25" i="1"/>
  <c r="AA25" i="1"/>
  <c r="Z25" i="1"/>
  <c r="W25" i="1"/>
  <c r="T25" i="1"/>
  <c r="O25" i="1"/>
  <c r="J25" i="1"/>
  <c r="I25" i="1"/>
  <c r="H25" i="1"/>
  <c r="B25" i="1"/>
  <c r="AB24" i="1"/>
  <c r="AA24" i="1"/>
  <c r="Z24" i="1"/>
  <c r="W24" i="1"/>
  <c r="T24" i="1"/>
  <c r="O24" i="1"/>
  <c r="J24" i="1"/>
  <c r="I24" i="1"/>
  <c r="H24" i="1"/>
  <c r="B24" i="1"/>
  <c r="AB23" i="1"/>
  <c r="AA23" i="1"/>
  <c r="Z23" i="1"/>
  <c r="W23" i="1"/>
  <c r="T23" i="1"/>
  <c r="O23" i="1"/>
  <c r="J23" i="1"/>
  <c r="I23" i="1"/>
  <c r="H23" i="1"/>
  <c r="B23" i="1"/>
  <c r="AB22" i="1"/>
  <c r="AA22" i="1"/>
  <c r="Z22" i="1"/>
  <c r="W22" i="1"/>
  <c r="T22" i="1"/>
  <c r="O22" i="1"/>
  <c r="J22" i="1"/>
  <c r="I22" i="1"/>
  <c r="H22" i="1"/>
  <c r="B22" i="1"/>
  <c r="AB21" i="1"/>
  <c r="AA21" i="1"/>
  <c r="Z21" i="1"/>
  <c r="W21" i="1"/>
  <c r="T21" i="1"/>
  <c r="O21" i="1"/>
  <c r="J21" i="1"/>
  <c r="I21" i="1"/>
  <c r="H21" i="1"/>
  <c r="B21" i="1"/>
  <c r="AB20" i="1"/>
  <c r="AA20" i="1"/>
  <c r="Z20" i="1"/>
  <c r="W20" i="1"/>
  <c r="T20" i="1"/>
  <c r="O20" i="1"/>
  <c r="J20" i="1"/>
  <c r="I20" i="1"/>
  <c r="H20" i="1"/>
  <c r="B20" i="1"/>
  <c r="AB19" i="1"/>
  <c r="AA19" i="1"/>
  <c r="Z19" i="1"/>
  <c r="W19" i="1"/>
  <c r="T19" i="1"/>
  <c r="O19" i="1"/>
  <c r="J19" i="1"/>
  <c r="I19" i="1"/>
  <c r="H19" i="1"/>
  <c r="B19" i="1"/>
  <c r="AB18" i="1"/>
  <c r="AA18" i="1"/>
  <c r="Z18" i="1"/>
  <c r="W18" i="1"/>
  <c r="T18" i="1"/>
  <c r="O18" i="1"/>
  <c r="J18" i="1"/>
  <c r="I18" i="1"/>
  <c r="H18" i="1"/>
  <c r="B18" i="1"/>
  <c r="AB17" i="1"/>
  <c r="AA17" i="1"/>
  <c r="Z17" i="1"/>
  <c r="W17" i="1"/>
  <c r="T17" i="1"/>
  <c r="O17" i="1"/>
  <c r="J17" i="1"/>
  <c r="I17" i="1"/>
  <c r="H17" i="1"/>
  <c r="B17" i="1"/>
  <c r="AB16" i="1"/>
  <c r="AA16" i="1"/>
  <c r="Z16" i="1"/>
  <c r="W16" i="1"/>
  <c r="T16" i="1"/>
  <c r="O16" i="1"/>
  <c r="J16" i="1"/>
  <c r="I16" i="1"/>
  <c r="H16" i="1"/>
  <c r="B16" i="1"/>
  <c r="AB15" i="1"/>
  <c r="AA15" i="1"/>
  <c r="Z15" i="1"/>
  <c r="W15" i="1"/>
  <c r="T15" i="1"/>
  <c r="O15" i="1"/>
  <c r="J15" i="1"/>
  <c r="I15" i="1"/>
  <c r="H15" i="1"/>
  <c r="B15" i="1"/>
  <c r="AB14" i="1"/>
  <c r="AA14" i="1"/>
  <c r="Z14" i="1"/>
  <c r="W14" i="1"/>
  <c r="T14" i="1"/>
  <c r="O14" i="1"/>
  <c r="J14" i="1"/>
  <c r="I14" i="1"/>
  <c r="H14" i="1"/>
  <c r="B14" i="1"/>
  <c r="AB13" i="1"/>
  <c r="AA13" i="1"/>
  <c r="Z13" i="1"/>
  <c r="W13" i="1"/>
  <c r="T13" i="1"/>
  <c r="O13" i="1"/>
  <c r="J13" i="1"/>
  <c r="I13" i="1"/>
  <c r="H13" i="1"/>
  <c r="B13" i="1"/>
  <c r="AB12" i="1"/>
  <c r="AA12" i="1"/>
  <c r="Z12" i="1"/>
  <c r="W12" i="1"/>
  <c r="T12" i="1"/>
  <c r="O12" i="1"/>
  <c r="J12" i="1"/>
  <c r="I12" i="1"/>
  <c r="H12" i="1"/>
  <c r="B12" i="1"/>
  <c r="AB11" i="1"/>
  <c r="AA11" i="1"/>
  <c r="Z11" i="1"/>
  <c r="W11" i="1"/>
  <c r="T11" i="1"/>
  <c r="O11" i="1"/>
  <c r="J11" i="1"/>
  <c r="I11" i="1"/>
  <c r="H11" i="1"/>
  <c r="B11" i="1"/>
  <c r="AB10" i="1"/>
  <c r="AA10" i="1"/>
  <c r="Z10" i="1"/>
  <c r="W10" i="1"/>
  <c r="T10" i="1"/>
  <c r="O10" i="1"/>
  <c r="J10" i="1"/>
  <c r="I10" i="1"/>
  <c r="H10" i="1"/>
  <c r="B10" i="1"/>
  <c r="AB9" i="1"/>
  <c r="AA9" i="1"/>
  <c r="Z9" i="1"/>
  <c r="W9" i="1"/>
  <c r="T9" i="1"/>
  <c r="O9" i="1"/>
  <c r="J9" i="1"/>
  <c r="I9" i="1"/>
  <c r="H9" i="1"/>
  <c r="B9" i="1"/>
  <c r="AB8" i="1"/>
  <c r="AA8" i="1"/>
  <c r="Z8" i="1"/>
  <c r="W8" i="1"/>
  <c r="T8" i="1"/>
  <c r="O8" i="1"/>
  <c r="J8" i="1"/>
  <c r="I8" i="1"/>
  <c r="H8" i="1"/>
  <c r="B8" i="1"/>
  <c r="AB7" i="1"/>
  <c r="AA7" i="1"/>
  <c r="Z7" i="1"/>
  <c r="W7" i="1"/>
  <c r="T7" i="1"/>
  <c r="O7" i="1"/>
  <c r="J7" i="1"/>
  <c r="I7" i="1"/>
  <c r="H7" i="1"/>
  <c r="B7" i="1"/>
  <c r="AB6" i="1"/>
  <c r="AA6" i="1"/>
  <c r="Z6" i="1"/>
  <c r="W6" i="1"/>
  <c r="T6" i="1"/>
  <c r="O6" i="1"/>
  <c r="J6" i="1"/>
  <c r="I6" i="1"/>
  <c r="H6" i="1"/>
  <c r="B6" i="1"/>
  <c r="AB5" i="1"/>
  <c r="AA5" i="1"/>
  <c r="Z5" i="1"/>
  <c r="W5" i="1"/>
  <c r="T5" i="1"/>
  <c r="O5" i="1"/>
  <c r="J5" i="1"/>
  <c r="I5" i="1"/>
  <c r="H5" i="1"/>
  <c r="B5" i="1"/>
  <c r="AB4" i="1"/>
  <c r="AA4" i="1"/>
  <c r="Z4" i="1"/>
  <c r="W4" i="1"/>
  <c r="T4" i="1"/>
  <c r="O4" i="1"/>
  <c r="J4" i="1"/>
  <c r="I4" i="1"/>
  <c r="H4" i="1"/>
  <c r="B4" i="1"/>
  <c r="AB3" i="1"/>
  <c r="AA3" i="1"/>
  <c r="Z3" i="1"/>
  <c r="W3" i="1"/>
  <c r="T3" i="1"/>
  <c r="O3" i="1"/>
  <c r="J3" i="1"/>
  <c r="I3" i="1"/>
  <c r="H3" i="1"/>
  <c r="B3" i="1"/>
  <c r="AB2" i="1"/>
  <c r="AA2" i="1"/>
  <c r="W2" i="1"/>
  <c r="T2" i="1"/>
  <c r="O2" i="1"/>
  <c r="J2" i="1"/>
  <c r="I2" i="1"/>
  <c r="H2" i="1"/>
  <c r="B2" i="1"/>
  <c r="A51" i="1" l="1"/>
  <c r="A57" i="1"/>
  <c r="A138" i="1"/>
  <c r="A126" i="1"/>
  <c r="A114" i="1"/>
  <c r="A102" i="1"/>
  <c r="A129" i="1"/>
  <c r="A117" i="1"/>
  <c r="A105" i="1"/>
  <c r="A93" i="1"/>
  <c r="A89" i="1"/>
  <c r="A77" i="1"/>
  <c r="A65" i="1"/>
  <c r="A130" i="1"/>
  <c r="A118" i="1"/>
  <c r="A106" i="1"/>
  <c r="A137" i="1"/>
  <c r="A125" i="1"/>
  <c r="A113" i="1"/>
  <c r="A101" i="1"/>
  <c r="A97" i="1"/>
  <c r="A86" i="1"/>
  <c r="A44" i="1"/>
  <c r="A23" i="1"/>
  <c r="A69" i="1"/>
  <c r="A61" i="1"/>
  <c r="A55" i="1"/>
  <c r="A78" i="1"/>
  <c r="A35" i="1"/>
  <c r="A133" i="1"/>
  <c r="A47" i="1"/>
  <c r="A38" i="1"/>
  <c r="A28" i="1"/>
  <c r="A7" i="1"/>
  <c r="A121" i="1"/>
  <c r="A81" i="1"/>
  <c r="A73" i="1"/>
  <c r="A59" i="1"/>
  <c r="A49" i="1"/>
  <c r="A94" i="1"/>
  <c r="A90" i="1"/>
  <c r="A123" i="1"/>
  <c r="A83" i="1"/>
  <c r="A11" i="1"/>
  <c r="A111" i="1"/>
  <c r="A85" i="1"/>
  <c r="A43" i="1"/>
  <c r="A26" i="1"/>
  <c r="A19" i="1"/>
  <c r="A60" i="1"/>
  <c r="A40" i="1"/>
  <c r="A21" i="1"/>
  <c r="A71" i="1"/>
  <c r="A36" i="1"/>
  <c r="A52" i="1"/>
  <c r="A16" i="1"/>
  <c r="A9" i="1"/>
  <c r="A3" i="1"/>
  <c r="A109" i="1"/>
  <c r="A31" i="1"/>
  <c r="A50" i="1"/>
  <c r="A66" i="1"/>
  <c r="A79" i="1"/>
  <c r="A13" i="1"/>
  <c r="A67" i="1"/>
  <c r="A2" i="1"/>
  <c r="A8" i="1"/>
  <c r="A15" i="1"/>
  <c r="A37" i="1"/>
  <c r="A98" i="1"/>
  <c r="A24" i="1"/>
  <c r="A30" i="1"/>
  <c r="A110" i="1"/>
  <c r="A122" i="1"/>
  <c r="A134" i="1"/>
  <c r="A4" i="1"/>
  <c r="A103" i="1"/>
  <c r="A17" i="1"/>
  <c r="A29" i="1"/>
  <c r="A74" i="1"/>
  <c r="A41" i="1"/>
  <c r="A5" i="1"/>
  <c r="A39" i="1"/>
  <c r="A62" i="1"/>
  <c r="A99" i="1"/>
  <c r="A25" i="1"/>
  <c r="A32" i="1"/>
  <c r="A45" i="1"/>
  <c r="A135" i="1"/>
  <c r="A56" i="1"/>
  <c r="A42" i="1"/>
  <c r="A48" i="1"/>
  <c r="A84" i="1"/>
  <c r="A14" i="1"/>
  <c r="A70" i="1"/>
  <c r="A6" i="1"/>
  <c r="A20" i="1"/>
  <c r="A27" i="1"/>
  <c r="A63" i="1"/>
  <c r="A12" i="1"/>
  <c r="A33" i="1"/>
  <c r="A53" i="1"/>
  <c r="A82" i="1"/>
  <c r="A88" i="1"/>
  <c r="A124" i="1"/>
  <c r="A54" i="1"/>
  <c r="A68" i="1"/>
  <c r="A104" i="1"/>
  <c r="A131" i="1"/>
  <c r="A22" i="1"/>
  <c r="A76" i="1"/>
  <c r="A96" i="1"/>
  <c r="Z2" i="1"/>
  <c r="A10" i="1"/>
  <c r="A75" i="1"/>
  <c r="A95" i="1"/>
  <c r="A116" i="1"/>
  <c r="A108" i="1"/>
  <c r="A115" i="1"/>
  <c r="A136" i="1"/>
  <c r="A18" i="1"/>
  <c r="A64" i="1"/>
  <c r="A107" i="1"/>
  <c r="A128" i="1"/>
  <c r="A58" i="1"/>
  <c r="A72" i="1"/>
  <c r="A80" i="1"/>
  <c r="A120" i="1"/>
  <c r="A92" i="1"/>
  <c r="A100" i="1"/>
  <c r="A127" i="1"/>
  <c r="A46" i="1"/>
  <c r="A119" i="1"/>
  <c r="A140" i="1"/>
  <c r="A87" i="1"/>
  <c r="A91" i="1"/>
  <c r="A132" i="1"/>
  <c r="A34" i="1"/>
  <c r="A112" i="1"/>
  <c r="A139" i="1"/>
</calcChain>
</file>

<file path=xl/sharedStrings.xml><?xml version="1.0" encoding="utf-8"?>
<sst xmlns="http://schemas.openxmlformats.org/spreadsheetml/2006/main" count="1279" uniqueCount="410">
  <si>
    <t>STT</t>
  </si>
  <si>
    <t>Ngày xuất</t>
  </si>
  <si>
    <t>Số SO</t>
  </si>
  <si>
    <t>Số DO</t>
  </si>
  <si>
    <t xml:space="preserve">Mã siêu thị </t>
  </si>
  <si>
    <t>Tên siêu thị</t>
  </si>
  <si>
    <t>Qty</t>
  </si>
  <si>
    <t>Tổng PCS/Mã chuyến</t>
  </si>
  <si>
    <t>Weight (kg)</t>
  </si>
  <si>
    <t>Volume up (m3)</t>
  </si>
  <si>
    <t>Tỉnh</t>
  </si>
  <si>
    <t>Quận</t>
  </si>
  <si>
    <t>Mã giờ</t>
  </si>
  <si>
    <t>Giờ nhận hàng</t>
  </si>
  <si>
    <t>Số điểm giao</t>
  </si>
  <si>
    <t>Tổng số kiện xe</t>
  </si>
  <si>
    <t>Trọng tải</t>
  </si>
  <si>
    <t>Ghi chú</t>
  </si>
  <si>
    <t>Chẵn</t>
  </si>
  <si>
    <t>Gợi ý lot sau</t>
  </si>
  <si>
    <t>Ghi chú 2</t>
  </si>
  <si>
    <t>Đơn vị vận tải</t>
  </si>
  <si>
    <t>Count</t>
  </si>
  <si>
    <t>Weight</t>
  </si>
  <si>
    <t>Volume</t>
  </si>
  <si>
    <t>PCS/DROP/Tỉnh</t>
  </si>
  <si>
    <t>KG/Lot</t>
  </si>
  <si>
    <t>CBM/Lot</t>
  </si>
  <si>
    <t/>
  </si>
  <si>
    <t>1392</t>
  </si>
  <si>
    <t>1391</t>
  </si>
  <si>
    <t>SOWINSAL1265898</t>
  </si>
  <si>
    <t>7078637863</t>
  </si>
  <si>
    <t>2ANC</t>
  </si>
  <si>
    <t>WM+ PTO Khu 21, Vạn Xuân</t>
  </si>
  <si>
    <t>T. Phú Thọ</t>
  </si>
  <si>
    <t>H. Tam Nông</t>
  </si>
  <si>
    <t>GHN</t>
  </si>
  <si>
    <t>SOWINSAL1275039</t>
  </si>
  <si>
    <t>7078688547</t>
  </si>
  <si>
    <t>SOWINSAL1272179</t>
  </si>
  <si>
    <t>7078667487</t>
  </si>
  <si>
    <t>SOWINSAL1265930</t>
  </si>
  <si>
    <t>7078642356</t>
  </si>
  <si>
    <t>5891</t>
  </si>
  <si>
    <t>WM+ PTO Khu 23 Vạn Xuân</t>
  </si>
  <si>
    <t>SOWINSAL1272215</t>
  </si>
  <si>
    <t>7078664474</t>
  </si>
  <si>
    <t>SOWINSAL1274902</t>
  </si>
  <si>
    <t>7078688115</t>
  </si>
  <si>
    <t>SOWINSAL1265990</t>
  </si>
  <si>
    <t>7078643462</t>
  </si>
  <si>
    <t>6871</t>
  </si>
  <si>
    <t>WM+ PTO 58 Hồ Thiên Hương</t>
  </si>
  <si>
    <t>SOWINSAL1274940</t>
  </si>
  <si>
    <t>7078678898</t>
  </si>
  <si>
    <t>SOWINSAL1272238</t>
  </si>
  <si>
    <t>7078665144</t>
  </si>
  <si>
    <t>SOWINSAL1265886</t>
  </si>
  <si>
    <t>7078643504</t>
  </si>
  <si>
    <t>2AFF</t>
  </si>
  <si>
    <t>WM+ PTO Khu 5, Xuân Lộc</t>
  </si>
  <si>
    <t>H. Thanh Thủy</t>
  </si>
  <si>
    <t>SOWINSAL1272383</t>
  </si>
  <si>
    <t>7078666165</t>
  </si>
  <si>
    <t>SOWINSAL1275089</t>
  </si>
  <si>
    <t>7078688553</t>
  </si>
  <si>
    <t>SOWINSAL1265888</t>
  </si>
  <si>
    <t>7078643551</t>
  </si>
  <si>
    <t>2AIU</t>
  </si>
  <si>
    <t>WM+ PTO Khu 14, Đào Xá</t>
  </si>
  <si>
    <t>SOWINSAL1272161</t>
  </si>
  <si>
    <t>7078666712</t>
  </si>
  <si>
    <t>SOWINSAL1274948</t>
  </si>
  <si>
    <t>7078687808</t>
  </si>
  <si>
    <t>SOWINSAL1265900</t>
  </si>
  <si>
    <t>7078636964</t>
  </si>
  <si>
    <t>2APX</t>
  </si>
  <si>
    <t>WM+ PTO Khu Phố, TT Thanh Thủy</t>
  </si>
  <si>
    <t>SOWINSAL1275094</t>
  </si>
  <si>
    <t>7078688706</t>
  </si>
  <si>
    <t>SOWINSAL1272264</t>
  </si>
  <si>
    <t>7078667479</t>
  </si>
  <si>
    <t>SOWINSAL1265895</t>
  </si>
  <si>
    <t>7078643491</t>
  </si>
  <si>
    <t>2ALI</t>
  </si>
  <si>
    <t>WM+ PTO Khu 1, Bảo Yên</t>
  </si>
  <si>
    <t>SOWINSAL1272261</t>
  </si>
  <si>
    <t>7078667536</t>
  </si>
  <si>
    <t>SOWINSAL1274950</t>
  </si>
  <si>
    <t>7078688108</t>
  </si>
  <si>
    <t>SOWINSAL1265961</t>
  </si>
  <si>
    <t>7078638269</t>
  </si>
  <si>
    <t>2BO6</t>
  </si>
  <si>
    <t>WM+ PTO Khu 11, Tu Vũ</t>
  </si>
  <si>
    <t>SOWINSAL1272286</t>
  </si>
  <si>
    <t>7078663496</t>
  </si>
  <si>
    <t>SOWINSAL1275053</t>
  </si>
  <si>
    <t>7078670490</t>
  </si>
  <si>
    <t>SOWINSAL1265983</t>
  </si>
  <si>
    <t>7078633961</t>
  </si>
  <si>
    <t>2BWV</t>
  </si>
  <si>
    <t>WM+ PTO Khu 2, Tu Vũ</t>
  </si>
  <si>
    <t>SOWINSAL1275077</t>
  </si>
  <si>
    <t>7078688550</t>
  </si>
  <si>
    <t>SOWINSAL1272246</t>
  </si>
  <si>
    <t>7078665079</t>
  </si>
  <si>
    <t>SOWINSAL1265893</t>
  </si>
  <si>
    <t>7078643425</t>
  </si>
  <si>
    <t>2AKU</t>
  </si>
  <si>
    <t>WM+ PTO Khu 4, Đoan Hạ</t>
  </si>
  <si>
    <t>SOWINSAL1275092</t>
  </si>
  <si>
    <t>7078686800</t>
  </si>
  <si>
    <t>SOWINSAL1272259</t>
  </si>
  <si>
    <t>7078666566</t>
  </si>
  <si>
    <t>SOWINSAL1265869</t>
  </si>
  <si>
    <t>7078643424</t>
  </si>
  <si>
    <t>6178</t>
  </si>
  <si>
    <t>WM+ PTO Khu 22 Hoàng Xá</t>
  </si>
  <si>
    <t>SOWINSAL1274909</t>
  </si>
  <si>
    <t>7078662236</t>
  </si>
  <si>
    <t>SOWINSAL1272353</t>
  </si>
  <si>
    <t>7078666804</t>
  </si>
  <si>
    <t>SOWINSAL1266046</t>
  </si>
  <si>
    <t>7078643663</t>
  </si>
  <si>
    <t>2BY6</t>
  </si>
  <si>
    <t>WM+ PTO Khu 3, Thanh Thủy</t>
  </si>
  <si>
    <t>SOWINSAL1272301</t>
  </si>
  <si>
    <t>7078667207</t>
  </si>
  <si>
    <t>SOWINSAL1265975</t>
  </si>
  <si>
    <t>7078637624</t>
  </si>
  <si>
    <t>2BU7</t>
  </si>
  <si>
    <t>WM+ PTO Quyết Tiến, Cự Đồng</t>
  </si>
  <si>
    <t>SOWINSAL1272292</t>
  </si>
  <si>
    <t>7078666199</t>
  </si>
  <si>
    <t>SOWINSAL1275054</t>
  </si>
  <si>
    <t>7078688296</t>
  </si>
  <si>
    <t>SOWINSAL1265894</t>
  </si>
  <si>
    <t>7078638265</t>
  </si>
  <si>
    <t>2ALC</t>
  </si>
  <si>
    <t>WM+ PTO Tân Hương, Hương Cần</t>
  </si>
  <si>
    <t>SOWINSAL1272260</t>
  </si>
  <si>
    <t>7078663211</t>
  </si>
  <si>
    <t>SOWINSAL1275026</t>
  </si>
  <si>
    <t>7078681766</t>
  </si>
  <si>
    <t>SOWINSAL1265958</t>
  </si>
  <si>
    <t>7078643417</t>
  </si>
  <si>
    <t>2BDE</t>
  </si>
  <si>
    <t>WM+ PTO Đề Ngữ, Yên Sơn</t>
  </si>
  <si>
    <t>H. Thanh Sơn</t>
  </si>
  <si>
    <t>SOWINSAL1272157</t>
  </si>
  <si>
    <t>7078666563</t>
  </si>
  <si>
    <t>SOWINSAL1274965</t>
  </si>
  <si>
    <t>7078687188</t>
  </si>
  <si>
    <t>SOWINSAL1265902</t>
  </si>
  <si>
    <t>7078643365</t>
  </si>
  <si>
    <t>2ASC</t>
  </si>
  <si>
    <t>WM+ PTO Xóm Dẹ 1, Văn Miếu</t>
  </si>
  <si>
    <t>SOWINSAL1275095</t>
  </si>
  <si>
    <t>7078687843</t>
  </si>
  <si>
    <t>SOWINSAL1272265</t>
  </si>
  <si>
    <t>7078666800</t>
  </si>
  <si>
    <t>SOWINSAL1265997</t>
  </si>
  <si>
    <t>7078639463</t>
  </si>
  <si>
    <t>2BHV</t>
  </si>
  <si>
    <t>WM+ PTO Đống Cả, Xuân Đài</t>
  </si>
  <si>
    <t>SOWINSAL1275048</t>
  </si>
  <si>
    <t>7078687975</t>
  </si>
  <si>
    <t>SOWINSAL1272279</t>
  </si>
  <si>
    <t>7078667354</t>
  </si>
  <si>
    <t>SOWINSAL1265897</t>
  </si>
  <si>
    <t>7078641718</t>
  </si>
  <si>
    <t>2AMP</t>
  </si>
  <si>
    <t>WM+ PTO 28 Phố Vàng</t>
  </si>
  <si>
    <t>SOWINSAL1272262</t>
  </si>
  <si>
    <t>7078666138</t>
  </si>
  <si>
    <t>SOWINSAL1274938</t>
  </si>
  <si>
    <t>7078687181</t>
  </si>
  <si>
    <t>SOWINSAL1265984</t>
  </si>
  <si>
    <t>7078638013</t>
  </si>
  <si>
    <t>6240</t>
  </si>
  <si>
    <t>WM+ PTO Hùng Nhĩ, Thanh Sơn</t>
  </si>
  <si>
    <t>SOWINSAL1274939</t>
  </si>
  <si>
    <t>7078686490</t>
  </si>
  <si>
    <t>SOWINSAL1272356</t>
  </si>
  <si>
    <t>7078667647</t>
  </si>
  <si>
    <t>SOWINSAL1265986</t>
  </si>
  <si>
    <t>7078643429</t>
  </si>
  <si>
    <t>6090</t>
  </si>
  <si>
    <t>WM+ PTO 191B Ba Mỏ</t>
  </si>
  <si>
    <t>SOWINSAL1272350</t>
  </si>
  <si>
    <t>7078664199</t>
  </si>
  <si>
    <t>SOWINSAL1275009</t>
  </si>
  <si>
    <t>7078686872</t>
  </si>
  <si>
    <t>SOWINSAL1265996</t>
  </si>
  <si>
    <t>7078643646</t>
  </si>
  <si>
    <t>2BGF</t>
  </si>
  <si>
    <t>WM+ PTO Khu 10, Xuân Lũng</t>
  </si>
  <si>
    <t>H. Lâm Thao</t>
  </si>
  <si>
    <t>SOWINSAL1275101</t>
  </si>
  <si>
    <t>7078688707</t>
  </si>
  <si>
    <t>SOWINSAL1272278</t>
  </si>
  <si>
    <t>7078663020</t>
  </si>
  <si>
    <t>SOWINSAL1265994</t>
  </si>
  <si>
    <t>7078642147</t>
  </si>
  <si>
    <t>2BBO</t>
  </si>
  <si>
    <t>WM+ PTO Khu 2, Xuân Lũng</t>
  </si>
  <si>
    <t>SOWINSAL1272272</t>
  </si>
  <si>
    <t>7078666068</t>
  </si>
  <si>
    <t>SOWINSAL1275047</t>
  </si>
  <si>
    <t>7078677479</t>
  </si>
  <si>
    <t>SOWINSAL1266013</t>
  </si>
  <si>
    <t>7078637741</t>
  </si>
  <si>
    <t>6540</t>
  </si>
  <si>
    <t>WM+ PTO Khu 12, TT Lâm Thao</t>
  </si>
  <si>
    <t>SOWINSAL1261385</t>
  </si>
  <si>
    <t>7078596334</t>
  </si>
  <si>
    <t>SOWINSAL1275018</t>
  </si>
  <si>
    <t>7078687669</t>
  </si>
  <si>
    <t>SOWINSAL1266291</t>
  </si>
  <si>
    <t>7078643964</t>
  </si>
  <si>
    <t>SOWINSAL1272364</t>
  </si>
  <si>
    <t>7078664200</t>
  </si>
  <si>
    <t>SOWINSAL1268523</t>
  </si>
  <si>
    <t>7078647281</t>
  </si>
  <si>
    <t>SOWINSAL1265971</t>
  </si>
  <si>
    <t>7078643461</t>
  </si>
  <si>
    <t>5905</t>
  </si>
  <si>
    <t>WM+ PTO 26 Âu Cơ</t>
  </si>
  <si>
    <t>SOWINSAL1272375</t>
  </si>
  <si>
    <t>7078666954</t>
  </si>
  <si>
    <t>SOWINSAL1275007</t>
  </si>
  <si>
    <t>7078677595</t>
  </si>
  <si>
    <t>SOWINSAL1266026</t>
  </si>
  <si>
    <t>7078644206</t>
  </si>
  <si>
    <t>2BX9</t>
  </si>
  <si>
    <t>WM+ PTO Khu 15, Dục Mỹ</t>
  </si>
  <si>
    <t>SOWINSAL1272299</t>
  </si>
  <si>
    <t>7078664746</t>
  </si>
  <si>
    <t>SOWINSAL1275104</t>
  </si>
  <si>
    <t>7078688326</t>
  </si>
  <si>
    <t>SOWINSAL1266012</t>
  </si>
  <si>
    <t>7078637820</t>
  </si>
  <si>
    <t>6338</t>
  </si>
  <si>
    <t>WM+ PTO Cao Xá, Lâm Thao</t>
  </si>
  <si>
    <t>SOWINSAL1272227</t>
  </si>
  <si>
    <t>7078667519</t>
  </si>
  <si>
    <t>SOWINSAL1275014</t>
  </si>
  <si>
    <t>7078687112</t>
  </si>
  <si>
    <t>SOWINSAL1265919</t>
  </si>
  <si>
    <t>7078641719</t>
  </si>
  <si>
    <t>2BW8</t>
  </si>
  <si>
    <t>WM+ PTO Khu 1, Bản Nguyên</t>
  </si>
  <si>
    <t>SOWINSAL1275057</t>
  </si>
  <si>
    <t>7078688578</t>
  </si>
  <si>
    <t>SOWINSAL1272296</t>
  </si>
  <si>
    <t>7078666568</t>
  </si>
  <si>
    <t>SOWINSAL1265892</t>
  </si>
  <si>
    <t>7078628263</t>
  </si>
  <si>
    <t>2AKG</t>
  </si>
  <si>
    <t>WM+ PTO Khu 5, Tứ Xã</t>
  </si>
  <si>
    <t>SOWINSAL1274961</t>
  </si>
  <si>
    <t>7078687701</t>
  </si>
  <si>
    <t>SOWINSAL1272258</t>
  </si>
  <si>
    <t>7078666716</t>
  </si>
  <si>
    <t>SOWINSAL1265873</t>
  </si>
  <si>
    <t>7078643474</t>
  </si>
  <si>
    <t>6562</t>
  </si>
  <si>
    <t>WM+ PTO 235-235B TT Hùng Sơn</t>
  </si>
  <si>
    <t>SOWINSAL1274925</t>
  </si>
  <si>
    <t>7078687540</t>
  </si>
  <si>
    <t>SOWINSAL1272176</t>
  </si>
  <si>
    <t>7078666981</t>
  </si>
  <si>
    <t>TP. Việt Trì</t>
  </si>
  <si>
    <t>SOWINSAL1265953</t>
  </si>
  <si>
    <t>7078642357</t>
  </si>
  <si>
    <t>6529</t>
  </si>
  <si>
    <t>WM+ PTO 545 Trần Phú</t>
  </si>
  <si>
    <t>SOWINSAL1275025</t>
  </si>
  <si>
    <t>7078685725</t>
  </si>
  <si>
    <t>SOWINSAL1272363</t>
  </si>
  <si>
    <t>7078666040</t>
  </si>
  <si>
    <t>SOWINSAL1265974</t>
  </si>
  <si>
    <t>7078643630</t>
  </si>
  <si>
    <t>6513</t>
  </si>
  <si>
    <t>WM+ PTO 12 Tổ 5 Trần Phú</t>
  </si>
  <si>
    <t>SOWINSAL1275081</t>
  </si>
  <si>
    <t>7078680548</t>
  </si>
  <si>
    <t>SOWINSAL1272391</t>
  </si>
  <si>
    <t>7078665571</t>
  </si>
  <si>
    <t>SOWINSAL1266057</t>
  </si>
  <si>
    <t>7078637627</t>
  </si>
  <si>
    <t>3643</t>
  </si>
  <si>
    <t>WM+ PTO Khu Tân An, Tân Dân</t>
  </si>
  <si>
    <t>SOWINSAL1275080</t>
  </si>
  <si>
    <t>7078677979</t>
  </si>
  <si>
    <t>SOWINSAL1272320</t>
  </si>
  <si>
    <t>7078663021</t>
  </si>
  <si>
    <t>SOWINSAL1265959</t>
  </si>
  <si>
    <t>7078643506</t>
  </si>
  <si>
    <t>2BFK</t>
  </si>
  <si>
    <t>WM+ PTO 192-194 Trần Phú, Việt Trì</t>
  </si>
  <si>
    <t>SOWINSAL1272277</t>
  </si>
  <si>
    <t>7078666567</t>
  </si>
  <si>
    <t>SOWINSAL1266028</t>
  </si>
  <si>
    <t>7078643606</t>
  </si>
  <si>
    <t>3993</t>
  </si>
  <si>
    <t>WM+ PTO 66 Hàn Thuyên</t>
  </si>
  <si>
    <t>SOWINSAL1275034</t>
  </si>
  <si>
    <t>7078687671</t>
  </si>
  <si>
    <t>SOWINSAL1272322</t>
  </si>
  <si>
    <t>7078663581</t>
  </si>
  <si>
    <t>SOWINSAL1266021</t>
  </si>
  <si>
    <t>7078644175</t>
  </si>
  <si>
    <t>2AB9</t>
  </si>
  <si>
    <t>WM+ PTO 35 Hà Chương</t>
  </si>
  <si>
    <t>SOWINSAL1274951</t>
  </si>
  <si>
    <t>7078687607</t>
  </si>
  <si>
    <t>SOWINSAL1272247</t>
  </si>
  <si>
    <t>7078666605</t>
  </si>
  <si>
    <t>SOWINSAL1265972</t>
  </si>
  <si>
    <t>7078642146</t>
  </si>
  <si>
    <t>6045</t>
  </si>
  <si>
    <t>WM+ PTO 476 Châu Phong</t>
  </si>
  <si>
    <t>SOWINSAL1275070</t>
  </si>
  <si>
    <t>7078677978</t>
  </si>
  <si>
    <t>SOWINSAL1272348</t>
  </si>
  <si>
    <t>7078667209</t>
  </si>
  <si>
    <t>SOWINSAL1265851</t>
  </si>
  <si>
    <t>7078643325</t>
  </si>
  <si>
    <t>6460</t>
  </si>
  <si>
    <t>WM+ PTO Đồng Gia, Việt Trì</t>
  </si>
  <si>
    <t>SOWINSAL1275076</t>
  </si>
  <si>
    <t>7078687976</t>
  </si>
  <si>
    <t>SOWINSAL1272360</t>
  </si>
  <si>
    <t>7078667210</t>
  </si>
  <si>
    <t>SOWINSAL1266027</t>
  </si>
  <si>
    <t>7078644128</t>
  </si>
  <si>
    <t>3435</t>
  </si>
  <si>
    <t>WM+ PTO 130 Lê Quý Đôn</t>
  </si>
  <si>
    <t>SOWINSAL1272183</t>
  </si>
  <si>
    <t>7078666603</t>
  </si>
  <si>
    <t>SOWINSAL1275037</t>
  </si>
  <si>
    <t>7078688294</t>
  </si>
  <si>
    <t>SOWINSAL1271969</t>
  </si>
  <si>
    <t>7078653021</t>
  </si>
  <si>
    <t>1564</t>
  </si>
  <si>
    <t>WM VCP PTO Việt Trì</t>
  </si>
  <si>
    <t>SOWINSAL1265861</t>
  </si>
  <si>
    <t>7078638037</t>
  </si>
  <si>
    <t>2AJJ</t>
  </si>
  <si>
    <t>WM+ PTO 439 Tiên Dung</t>
  </si>
  <si>
    <t>SOWINSAL1272245</t>
  </si>
  <si>
    <t>7078667506</t>
  </si>
  <si>
    <t>SOWINSAL1274959</t>
  </si>
  <si>
    <t>7078687972</t>
  </si>
  <si>
    <t>SOWINSAL1265976</t>
  </si>
  <si>
    <t>7078643507</t>
  </si>
  <si>
    <t>3685</t>
  </si>
  <si>
    <t xml:space="preserve">WM+ PTO 1343 Hùng Vương </t>
  </si>
  <si>
    <t>SOWINSAL1272377</t>
  </si>
  <si>
    <t>7078666521</t>
  </si>
  <si>
    <t>SOWINSAL1266025</t>
  </si>
  <si>
    <t>7078636130</t>
  </si>
  <si>
    <t>3407</t>
  </si>
  <si>
    <t>WM+ PTO 1250 Hùng Vương</t>
  </si>
  <si>
    <t>SOWINSAL1272314</t>
  </si>
  <si>
    <t>7078665768</t>
  </si>
  <si>
    <t>SOWINSAL1275063</t>
  </si>
  <si>
    <t>7078688410</t>
  </si>
  <si>
    <t>SOWINSAL1266023</t>
  </si>
  <si>
    <t>7078643305</t>
  </si>
  <si>
    <t>2CFX</t>
  </si>
  <si>
    <t>WM+ PTO 965 Hùng Vương</t>
  </si>
  <si>
    <t>SOWINSAL1272380</t>
  </si>
  <si>
    <t>7078667726</t>
  </si>
  <si>
    <t>SOWINSAL1275033</t>
  </si>
  <si>
    <t>7078680075</t>
  </si>
  <si>
    <t>SOWINSAL1265837</t>
  </si>
  <si>
    <t>7078637954</t>
  </si>
  <si>
    <t>4093</t>
  </si>
  <si>
    <t>WM+ PTO Tổ 26A Hai Bà Trưng</t>
  </si>
  <si>
    <t>SOWINSAL1275068</t>
  </si>
  <si>
    <t>7078687676</t>
  </si>
  <si>
    <t>SOWINSAL1272323</t>
  </si>
  <si>
    <t>7078665149</t>
  </si>
  <si>
    <t>SOWINSAL1265835</t>
  </si>
  <si>
    <t>7078643423</t>
  </si>
  <si>
    <t>3464</t>
  </si>
  <si>
    <t>WM+ PTO Thành Công, Việt Trì</t>
  </si>
  <si>
    <t>SOWINSAL1272315</t>
  </si>
  <si>
    <t>7078664197</t>
  </si>
  <si>
    <t>SOWINSAL1275064</t>
  </si>
  <si>
    <t>7078688549</t>
  </si>
  <si>
    <t>SOWINSAL1266052</t>
  </si>
  <si>
    <t>7078638448</t>
  </si>
  <si>
    <t>6434</t>
  </si>
  <si>
    <t>WM+ PTO 107 Bạch Hạc</t>
  </si>
  <si>
    <t>SOWINSAL1272359</t>
  </si>
  <si>
    <t>7078667678</t>
  </si>
  <si>
    <t>SOWINSAL1275075</t>
  </si>
  <si>
    <t>7078688297</t>
  </si>
  <si>
    <t>SOWINSAL1266022</t>
  </si>
  <si>
    <t>7078644190</t>
  </si>
  <si>
    <t>2AU9</t>
  </si>
  <si>
    <t>WM+ PTO Băng 1, Nguyễn Tất Thành</t>
  </si>
  <si>
    <t>SOWINSAL1272266</t>
  </si>
  <si>
    <t>7078664196</t>
  </si>
  <si>
    <t>SOWINSAL1275040</t>
  </si>
  <si>
    <t>7078688687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</si>
</sst>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6" x14ac:knownFonts="1">
    <font>
      <sz val="11"/>
      <color theme="1"/>
      <name val="Aptos Narrow"/>
      <family val="2"/>
      <scheme val="minor"/>
    </font>
    <font>
      <b/>
      <sz val="10"/>
      <color theme="0"/>
      <name val="Aptos"/>
      <family val="2"/>
    </font>
    <font>
      <b/>
      <sz val="10"/>
      <color theme="1"/>
      <name val="Aptos"/>
      <family val="2"/>
    </font>
    <font>
      <sz val="9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1" fontId="5" fillId="5" borderId="3" xfId="0" quotePrefix="1" applyNumberFormat="1" applyFont="1" applyFill="1" applyBorder="1" applyAlignment="1">
      <alignment vertical="center" wrapText="1"/>
    </xf>
    <xf numFmtId="2" fontId="4" fillId="5" borderId="4" xfId="0" quotePrefix="1" applyNumberFormat="1" applyFont="1" applyFill="1" applyBorder="1" applyAlignment="1">
      <alignment vertical="center"/>
    </xf>
    <xf numFmtId="1" fontId="5" fillId="5" borderId="3" xfId="0" applyNumberFormat="1" applyFont="1" applyFill="1" applyBorder="1" applyAlignment="1">
      <alignment vertical="center" wrapText="1"/>
    </xf>
    <xf numFmtId="165" fontId="5" fillId="5" borderId="3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6D0D-CC65-4C1F-A469-F478022B0D2F}">
  <dimension ref="A1:AB140"/>
  <sheetViews>
    <sheetView tabSelected="1" topLeftCell="D1" zoomScale="96" zoomScaleNormal="96" workbookViewId="0">
      <pane ySplit="1" topLeftCell="A2" activePane="bottomLeft" state="frozen"/>
      <selection activeCell="J16" sqref="J16"/>
      <selection pane="bottomLeft" activeCell="T8" sqref="T8"/>
    </sheetView>
  </sheetViews>
  <sheetFormatPr defaultColWidth="8.7109375" defaultRowHeight="15" x14ac:dyDescent="0.25"/>
  <cols>
    <col min="1" max="1" width="8.7109375" style="5"/>
    <col min="2" max="2" width="10.5703125" style="5" customWidth="1"/>
    <col min="3" max="3" width="19.140625" style="5" customWidth="1"/>
    <col min="4" max="4" width="17.5703125" style="5" customWidth="1"/>
    <col min="5" max="5" width="10" style="5" customWidth="1"/>
    <col min="6" max="6" width="26.140625" style="5" customWidth="1"/>
    <col min="7" max="7" width="8.5703125" style="5" customWidth="1"/>
    <col min="8" max="8" width="18.5703125" style="5" customWidth="1"/>
    <col min="9" max="9" width="10" style="5" customWidth="1"/>
    <col min="10" max="10" width="8.85546875" style="5" customWidth="1"/>
    <col min="11" max="11" width="13.85546875" style="5" customWidth="1"/>
    <col min="12" max="12" width="15.85546875" style="5" customWidth="1"/>
    <col min="13" max="13" width="8.7109375" style="5"/>
    <col min="14" max="14" width="10.42578125" style="5" customWidth="1"/>
    <col min="15" max="15" width="8.140625" style="5" customWidth="1"/>
    <col min="16" max="17" width="8.7109375" style="5"/>
    <col min="18" max="18" width="10" style="5" customWidth="1"/>
    <col min="19" max="19" width="10.85546875" style="5" customWidth="1"/>
    <col min="20" max="20" width="11" style="5" bestFit="1" customWidth="1"/>
    <col min="21" max="21" width="10" style="5" customWidth="1"/>
    <col min="22" max="22" width="9.140625" style="5" customWidth="1"/>
    <col min="23" max="24" width="8.7109375" style="5"/>
    <col min="25" max="25" width="11.140625" style="5" customWidth="1"/>
    <col min="26" max="26" width="15.85546875" style="5" customWidth="1"/>
    <col min="27" max="27" width="12.42578125" style="5" customWidth="1"/>
    <col min="28" max="16384" width="8.7109375" style="11"/>
  </cols>
  <sheetData>
    <row r="1" spans="1:28" s="4" customFormat="1" ht="32.4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3" t="s">
        <v>27</v>
      </c>
    </row>
    <row r="2" spans="1:28" x14ac:dyDescent="0.25">
      <c r="A2" s="5">
        <f ca="1">IF(B2="","",COUNTA($B$2:B2))</f>
        <v>1</v>
      </c>
      <c r="B2" s="6">
        <f t="shared" ref="B2:B30" ca="1" si="0">TODAY()+1</f>
        <v>46191</v>
      </c>
      <c r="C2" s="5" t="s">
        <v>31</v>
      </c>
      <c r="D2" s="5" t="s">
        <v>32</v>
      </c>
      <c r="E2" s="5" t="s">
        <v>33</v>
      </c>
      <c r="F2" s="5" t="s">
        <v>34</v>
      </c>
      <c r="G2" s="5">
        <v>211</v>
      </c>
      <c r="H2" s="7" t="str">
        <f>IF(COUNTIF($M$2:M2,M2)=1,
SUMIFS($G:$G,$M:$M,M2),
"")</f>
        <v/>
      </c>
      <c r="I2" s="7" t="e">
        <f>IF(E2&lt;&gt;#REF!,SUMIF(E:E,E2,X:X)," ")</f>
        <v>#REF!</v>
      </c>
      <c r="J2" s="8" t="e">
        <f>IF(E2&lt;&gt;#REF!,SUMIF(E:E,E2,Y:Y)," ")</f>
        <v>#REF!</v>
      </c>
      <c r="K2" s="5" t="s">
        <v>35</v>
      </c>
      <c r="L2" s="5" t="s">
        <v>36</v>
      </c>
      <c r="O2" s="9" t="str">
        <f>IF(Q2="","",COUNTIFS($M:$M,M2,$W:$W,"1"))</f>
        <v/>
      </c>
      <c r="P2" s="9" t="s">
        <v>28</v>
      </c>
      <c r="R2" s="5" t="s">
        <v>29</v>
      </c>
      <c r="T2" s="9" t="str">
        <f t="shared" ref="T2:T30" si="1">IF(OR(Q2="", M2="", N2=""), "", "LOT SAU KHOẢNG " &amp; TEXT(IF(Q2=5, N2+TIME(2,0,0), IF(OR(Q2=7, Q2=8), N2+TIME(2,48,0), IF(Q2=10, N2+TIME(3,48,0), N2))), "hh:mm"))</f>
        <v/>
      </c>
      <c r="V2" s="5" t="s">
        <v>37</v>
      </c>
      <c r="W2" s="9">
        <f>IF(COUNTIFS($M$2:$M2,M2,$E$2:$E2,E2)=1,1,0)</f>
        <v>0</v>
      </c>
      <c r="X2" s="9">
        <v>120.5691186147186</v>
      </c>
      <c r="Y2" s="10">
        <v>0.32636495692857148</v>
      </c>
      <c r="Z2" s="9" t="e">
        <f>IF(COUNTIF(K$2:K2,K2)=1,SUMIF(K:K,K2,H:H)/SUMIF(K:K,K2,W:W),"")</f>
        <v>#DIV/0!</v>
      </c>
      <c r="AA2" s="9" t="str">
        <f>IF(COUNTIF($M$2:M2,M2)=1, SUMIF(M:M,M2,X:X), "")</f>
        <v/>
      </c>
      <c r="AB2" s="9" t="str">
        <f>IF(COUNTIF($M$2:M2,M2)=1, SUMIF(M:M,M2,Y:Y), "")</f>
        <v/>
      </c>
    </row>
    <row r="3" spans="1:28" x14ac:dyDescent="0.25">
      <c r="A3" s="5">
        <f ca="1">IF(B3="","",COUNTA($B$2:B3))</f>
        <v>2</v>
      </c>
      <c r="B3" s="6">
        <f t="shared" ca="1" si="0"/>
        <v>46191</v>
      </c>
      <c r="C3" s="5" t="s">
        <v>38</v>
      </c>
      <c r="D3" s="5" t="s">
        <v>39</v>
      </c>
      <c r="E3" s="5" t="s">
        <v>33</v>
      </c>
      <c r="F3" s="5" t="s">
        <v>34</v>
      </c>
      <c r="G3" s="5">
        <v>50</v>
      </c>
      <c r="H3" s="7" t="str">
        <f>IF(COUNTIF($M$2:M3,M3)=1,
SUMIFS($G:$G,$M:$M,M3),
"")</f>
        <v/>
      </c>
      <c r="I3" s="7" t="str">
        <f>IF(E3&lt;&gt;E2,SUMIF(E:E,E3,X:X)," ")</f>
        <v xml:space="preserve"> </v>
      </c>
      <c r="J3" s="8" t="str">
        <f>IF(E3&lt;&gt;E2,SUMIF(E:E,E3,Y:Y)," ")</f>
        <v xml:space="preserve"> </v>
      </c>
      <c r="K3" s="5" t="s">
        <v>35</v>
      </c>
      <c r="L3" s="5" t="s">
        <v>36</v>
      </c>
      <c r="O3" s="9" t="str">
        <f>IF(Q3="","",COUNTIFS($M:$M,M3,$W:$W,"1"))</f>
        <v/>
      </c>
      <c r="P3" s="9" t="s">
        <v>28</v>
      </c>
      <c r="R3" s="5" t="s">
        <v>29</v>
      </c>
      <c r="T3" s="9" t="str">
        <f t="shared" si="1"/>
        <v/>
      </c>
      <c r="V3" s="5" t="s">
        <v>37</v>
      </c>
      <c r="W3" s="9">
        <f>IF(COUNTIFS($M$2:$M3,M3,$E$2:$E3,E3)=1,1,0)</f>
        <v>0</v>
      </c>
      <c r="X3" s="9">
        <v>5</v>
      </c>
      <c r="Y3" s="10">
        <v>3.0499692307692304E-2</v>
      </c>
      <c r="Z3" s="9" t="str">
        <f>IF(COUNTIF(K$2:K3,K3)=1,SUMIF(K:K,K3,H:H)/SUMIF(K:K,K3,W:W),"")</f>
        <v/>
      </c>
      <c r="AA3" s="9" t="str">
        <f>IF(COUNTIF($M$2:M3,M3)=1, SUMIF(M:M,M3,X:X), "")</f>
        <v/>
      </c>
      <c r="AB3" s="9" t="str">
        <f>IF(COUNTIF($M$2:M3,M3)=1, SUMIF(M:M,M3,Y:Y), "")</f>
        <v/>
      </c>
    </row>
    <row r="4" spans="1:28" x14ac:dyDescent="0.25">
      <c r="A4" s="5">
        <f ca="1">IF(B4="","",COUNTA($B$2:B4))</f>
        <v>3</v>
      </c>
      <c r="B4" s="6">
        <f t="shared" ca="1" si="0"/>
        <v>46191</v>
      </c>
      <c r="C4" s="5" t="s">
        <v>40</v>
      </c>
      <c r="D4" s="5" t="s">
        <v>41</v>
      </c>
      <c r="E4" s="5" t="s">
        <v>33</v>
      </c>
      <c r="F4" s="5" t="s">
        <v>34</v>
      </c>
      <c r="G4" s="5">
        <v>368</v>
      </c>
      <c r="H4" s="7" t="str">
        <f>IF(COUNTIF($M$2:M4,M4)=1,
SUMIFS($G:$G,$M:$M,M4),
"")</f>
        <v/>
      </c>
      <c r="I4" s="7" t="str">
        <f>IF(E4&lt;&gt;E3,SUMIF(E:E,E4,X:X)," ")</f>
        <v xml:space="preserve"> </v>
      </c>
      <c r="J4" s="8" t="str">
        <f>IF(E4&lt;&gt;E3,SUMIF(E:E,E4,Y:Y)," ")</f>
        <v xml:space="preserve"> </v>
      </c>
      <c r="K4" s="5" t="s">
        <v>35</v>
      </c>
      <c r="L4" s="5" t="s">
        <v>36</v>
      </c>
      <c r="O4" s="9" t="str">
        <f>IF(Q4="","",COUNTIFS($M:$M,M4,$W:$W,"1"))</f>
        <v/>
      </c>
      <c r="P4" s="9" t="s">
        <v>28</v>
      </c>
      <c r="R4" s="5" t="s">
        <v>29</v>
      </c>
      <c r="T4" s="9" t="str">
        <f t="shared" si="1"/>
        <v/>
      </c>
      <c r="V4" s="5" t="s">
        <v>37</v>
      </c>
      <c r="W4" s="9">
        <f>IF(COUNTIFS($M$2:$M4,M4,$E$2:$E4,E4)=1,1,0)</f>
        <v>0</v>
      </c>
      <c r="X4" s="9">
        <v>206.55599999999998</v>
      </c>
      <c r="Y4" s="10">
        <v>0.58138804038461545</v>
      </c>
      <c r="Z4" s="9" t="str">
        <f>IF(COUNTIF(K$2:K4,K4)=1,SUMIF(K:K,K4,H:H)/SUMIF(K:K,K4,W:W),"")</f>
        <v/>
      </c>
      <c r="AA4" s="9" t="str">
        <f>IF(COUNTIF($M$2:M4,M4)=1, SUMIF(M:M,M4,X:X), "")</f>
        <v/>
      </c>
      <c r="AB4" s="9" t="str">
        <f>IF(COUNTIF($M$2:M4,M4)=1, SUMIF(M:M,M4,Y:Y), "")</f>
        <v/>
      </c>
    </row>
    <row r="5" spans="1:28" x14ac:dyDescent="0.25">
      <c r="A5" s="5">
        <f ca="1">IF(B5="","",COUNTA($B$2:B5))</f>
        <v>4</v>
      </c>
      <c r="B5" s="6">
        <f t="shared" ca="1" si="0"/>
        <v>46191</v>
      </c>
      <c r="C5" s="5" t="s">
        <v>42</v>
      </c>
      <c r="D5" s="5" t="s">
        <v>43</v>
      </c>
      <c r="E5" s="5" t="s">
        <v>44</v>
      </c>
      <c r="F5" s="5" t="s">
        <v>45</v>
      </c>
      <c r="G5" s="5">
        <v>318</v>
      </c>
      <c r="H5" s="7" t="str">
        <f>IF(COUNTIF($M$2:M5,M5)=1,
SUMIFS($G:$G,$M:$M,M5),
"")</f>
        <v/>
      </c>
      <c r="I5" s="7">
        <f>IF(E5&lt;&gt;E4,SUMIF(E:E,E5,X:X)," ")</f>
        <v>288.37104285714281</v>
      </c>
      <c r="J5" s="8">
        <f>IF(E5&lt;&gt;E4,SUMIF(E:E,E5,Y:Y)," ")</f>
        <v>0.83784747865934062</v>
      </c>
      <c r="K5" s="5" t="s">
        <v>35</v>
      </c>
      <c r="L5" s="5" t="s">
        <v>36</v>
      </c>
      <c r="O5" s="9" t="str">
        <f>IF(Q5="","",COUNTIFS($M:$M,M5,$W:$W,"1"))</f>
        <v/>
      </c>
      <c r="P5" s="9" t="s">
        <v>28</v>
      </c>
      <c r="R5" s="5" t="s">
        <v>29</v>
      </c>
      <c r="T5" s="9" t="str">
        <f t="shared" si="1"/>
        <v/>
      </c>
      <c r="V5" s="5" t="s">
        <v>37</v>
      </c>
      <c r="W5" s="9">
        <f>IF(COUNTIFS($M$2:$M5,M5,$E$2:$E5,E5)=1,1,0)</f>
        <v>0</v>
      </c>
      <c r="X5" s="9">
        <v>185.13104285714283</v>
      </c>
      <c r="Y5" s="10">
        <v>0.51838501519780211</v>
      </c>
      <c r="Z5" s="9" t="str">
        <f>IF(COUNTIF(K$2:K5,K5)=1,SUMIF(K:K,K5,H:H)/SUMIF(K:K,K5,W:W),"")</f>
        <v/>
      </c>
      <c r="AA5" s="9" t="str">
        <f>IF(COUNTIF($M$2:M5,M5)=1, SUMIF(M:M,M5,X:X), "")</f>
        <v/>
      </c>
      <c r="AB5" s="9" t="str">
        <f>IF(COUNTIF($M$2:M5,M5)=1, SUMIF(M:M,M5,Y:Y), "")</f>
        <v/>
      </c>
    </row>
    <row r="6" spans="1:28" x14ac:dyDescent="0.25">
      <c r="A6" s="5">
        <f ca="1">IF(B6="","",COUNTA($B$2:B6))</f>
        <v>5</v>
      </c>
      <c r="B6" s="6">
        <f t="shared" ca="1" si="0"/>
        <v>46191</v>
      </c>
      <c r="C6" s="5" t="s">
        <v>46</v>
      </c>
      <c r="D6" s="5" t="s">
        <v>47</v>
      </c>
      <c r="E6" s="5" t="s">
        <v>44</v>
      </c>
      <c r="F6" s="5" t="s">
        <v>45</v>
      </c>
      <c r="G6" s="5">
        <v>256</v>
      </c>
      <c r="H6" s="7" t="str">
        <f>IF(COUNTIF($M$2:M6,M6)=1,
SUMIFS($G:$G,$M:$M,M6),
"")</f>
        <v/>
      </c>
      <c r="I6" s="7" t="str">
        <f>IF(E6&lt;&gt;E5,SUMIF(E:E,E6,X:X)," ")</f>
        <v xml:space="preserve"> </v>
      </c>
      <c r="J6" s="8" t="str">
        <f>IF(E6&lt;&gt;E5,SUMIF(E:E,E6,Y:Y)," ")</f>
        <v xml:space="preserve"> </v>
      </c>
      <c r="K6" s="5" t="s">
        <v>35</v>
      </c>
      <c r="L6" s="5" t="s">
        <v>36</v>
      </c>
      <c r="O6" s="9" t="str">
        <f>IF(Q6="","",COUNTIFS($M:$M,M6,$W:$W,"1"))</f>
        <v/>
      </c>
      <c r="P6" s="9" t="s">
        <v>28</v>
      </c>
      <c r="R6" s="5" t="s">
        <v>29</v>
      </c>
      <c r="T6" s="9" t="str">
        <f t="shared" si="1"/>
        <v/>
      </c>
      <c r="V6" s="5" t="s">
        <v>37</v>
      </c>
      <c r="W6" s="9">
        <f>IF(COUNTIFS($M$2:$M6,M6,$E$2:$E6,E6)=1,1,0)</f>
        <v>0</v>
      </c>
      <c r="X6" s="9">
        <v>88.600000000000009</v>
      </c>
      <c r="Y6" s="10">
        <v>0.22347015576923077</v>
      </c>
      <c r="Z6" s="9" t="str">
        <f>IF(COUNTIF(K$2:K6,K6)=1,SUMIF(K:K,K6,H:H)/SUMIF(K:K,K6,W:W),"")</f>
        <v/>
      </c>
      <c r="AA6" s="9" t="str">
        <f>IF(COUNTIF($M$2:M6,M6)=1, SUMIF(M:M,M6,X:X), "")</f>
        <v/>
      </c>
      <c r="AB6" s="9" t="str">
        <f>IF(COUNTIF($M$2:M6,M6)=1, SUMIF(M:M,M6,Y:Y), "")</f>
        <v/>
      </c>
    </row>
    <row r="7" spans="1:28" x14ac:dyDescent="0.25">
      <c r="A7" s="5">
        <f ca="1">IF(B7="","",COUNTA($B$2:B7))</f>
        <v>6</v>
      </c>
      <c r="B7" s="6">
        <f t="shared" ca="1" si="0"/>
        <v>46191</v>
      </c>
      <c r="C7" s="5" t="s">
        <v>48</v>
      </c>
      <c r="D7" s="5" t="s">
        <v>49</v>
      </c>
      <c r="E7" s="5" t="s">
        <v>44</v>
      </c>
      <c r="F7" s="5" t="s">
        <v>45</v>
      </c>
      <c r="G7" s="5">
        <v>130</v>
      </c>
      <c r="H7" s="7" t="str">
        <f>IF(COUNTIF($M$2:M7,M7)=1,
SUMIFS($G:$G,$M:$M,M7),
"")</f>
        <v/>
      </c>
      <c r="I7" s="7" t="str">
        <f>IF(E7&lt;&gt;E6,SUMIF(E:E,E7,X:X)," ")</f>
        <v xml:space="preserve"> </v>
      </c>
      <c r="J7" s="8" t="str">
        <f>IF(E7&lt;&gt;E6,SUMIF(E:E,E7,Y:Y)," ")</f>
        <v xml:space="preserve"> </v>
      </c>
      <c r="K7" s="5" t="s">
        <v>35</v>
      </c>
      <c r="L7" s="5" t="s">
        <v>36</v>
      </c>
      <c r="O7" s="9" t="str">
        <f>IF(Q7="","",COUNTIFS($M:$M,M7,$W:$W,"1"))</f>
        <v/>
      </c>
      <c r="P7" s="9" t="s">
        <v>28</v>
      </c>
      <c r="R7" s="5" t="s">
        <v>29</v>
      </c>
      <c r="T7" s="9" t="str">
        <f t="shared" si="1"/>
        <v/>
      </c>
      <c r="V7" s="5" t="s">
        <v>37</v>
      </c>
      <c r="W7" s="9">
        <f>IF(COUNTIFS($M$2:$M7,M7,$E$2:$E7,E7)=1,1,0)</f>
        <v>0</v>
      </c>
      <c r="X7" s="9">
        <v>14.64</v>
      </c>
      <c r="Y7" s="10">
        <v>9.5992307692307696E-2</v>
      </c>
      <c r="Z7" s="9" t="str">
        <f>IF(COUNTIF(K$2:K7,K7)=1,SUMIF(K:K,K7,H:H)/SUMIF(K:K,K7,W:W),"")</f>
        <v/>
      </c>
      <c r="AA7" s="9" t="str">
        <f>IF(COUNTIF($M$2:M7,M7)=1, SUMIF(M:M,M7,X:X), "")</f>
        <v/>
      </c>
      <c r="AB7" s="9" t="str">
        <f>IF(COUNTIF($M$2:M7,M7)=1, SUMIF(M:M,M7,Y:Y), "")</f>
        <v/>
      </c>
    </row>
    <row r="8" spans="1:28" x14ac:dyDescent="0.25">
      <c r="A8" s="5">
        <f ca="1">IF(B8="","",COUNTA($B$2:B8))</f>
        <v>7</v>
      </c>
      <c r="B8" s="6">
        <f t="shared" ca="1" si="0"/>
        <v>46191</v>
      </c>
      <c r="C8" s="5" t="s">
        <v>50</v>
      </c>
      <c r="D8" s="5" t="s">
        <v>51</v>
      </c>
      <c r="E8" s="5" t="s">
        <v>52</v>
      </c>
      <c r="F8" s="5" t="s">
        <v>53</v>
      </c>
      <c r="G8" s="5">
        <v>173</v>
      </c>
      <c r="H8" s="7" t="str">
        <f>IF(COUNTIF($M$2:M8,M8)=1,
SUMIFS($G:$G,$M:$M,M8),
"")</f>
        <v/>
      </c>
      <c r="I8" s="7">
        <f>IF(E8&lt;&gt;E7,SUMIF(E:E,E8,X:X)," ")</f>
        <v>437.10797142857143</v>
      </c>
      <c r="J8" s="8">
        <f>IF(E8&lt;&gt;E7,SUMIF(E:E,E8,Y:Y)," ")</f>
        <v>1.2467995509610361</v>
      </c>
      <c r="K8" s="5" t="s">
        <v>35</v>
      </c>
      <c r="L8" s="5" t="s">
        <v>36</v>
      </c>
      <c r="O8" s="9" t="str">
        <f>IF(Q8="","",COUNTIFS($M:$M,M8,$W:$W,"1"))</f>
        <v/>
      </c>
      <c r="P8" s="9" t="s">
        <v>28</v>
      </c>
      <c r="R8" s="5" t="s">
        <v>29</v>
      </c>
      <c r="T8" s="9" t="str">
        <f t="shared" si="1"/>
        <v/>
      </c>
      <c r="V8" s="5" t="s">
        <v>37</v>
      </c>
      <c r="W8" s="9">
        <f>IF(COUNTIFS($M$2:$M8,M8,$E$2:$E8,E8)=1,1,0)</f>
        <v>0</v>
      </c>
      <c r="X8" s="9">
        <v>132.21557142857142</v>
      </c>
      <c r="Y8" s="10">
        <v>0.39728192596103584</v>
      </c>
      <c r="Z8" s="9" t="str">
        <f>IF(COUNTIF(K$2:K8,K8)=1,SUMIF(K:K,K8,H:H)/SUMIF(K:K,K8,W:W),"")</f>
        <v/>
      </c>
      <c r="AA8" s="9" t="str">
        <f>IF(COUNTIF($M$2:M8,M8)=1, SUMIF(M:M,M8,X:X), "")</f>
        <v/>
      </c>
      <c r="AB8" s="9" t="str">
        <f>IF(COUNTIF($M$2:M8,M8)=1, SUMIF(M:M,M8,Y:Y), "")</f>
        <v/>
      </c>
    </row>
    <row r="9" spans="1:28" x14ac:dyDescent="0.25">
      <c r="A9" s="5">
        <f ca="1">IF(B9="","",COUNTA($B$2:B9))</f>
        <v>8</v>
      </c>
      <c r="B9" s="6">
        <f t="shared" ca="1" si="0"/>
        <v>46191</v>
      </c>
      <c r="C9" s="5" t="s">
        <v>54</v>
      </c>
      <c r="D9" s="5" t="s">
        <v>55</v>
      </c>
      <c r="E9" s="5" t="s">
        <v>52</v>
      </c>
      <c r="F9" s="5" t="s">
        <v>53</v>
      </c>
      <c r="G9" s="5">
        <v>222</v>
      </c>
      <c r="H9" s="7" t="str">
        <f>IF(COUNTIF($M$2:M9,M9)=1,
SUMIFS($G:$G,$M:$M,M9),
"")</f>
        <v/>
      </c>
      <c r="I9" s="7" t="str">
        <f>IF(E9&lt;&gt;E8,SUMIF(E:E,E9,X:X)," ")</f>
        <v xml:space="preserve"> </v>
      </c>
      <c r="J9" s="8" t="str">
        <f>IF(E9&lt;&gt;E8,SUMIF(E:E,E9,Y:Y)," ")</f>
        <v xml:space="preserve"> </v>
      </c>
      <c r="K9" s="5" t="s">
        <v>35</v>
      </c>
      <c r="L9" s="5" t="s">
        <v>36</v>
      </c>
      <c r="O9" s="9" t="str">
        <f>IF(Q9="","",COUNTIFS($M:$M,M9,$W:$W,"1"))</f>
        <v/>
      </c>
      <c r="P9" s="9" t="s">
        <v>28</v>
      </c>
      <c r="R9" s="5" t="s">
        <v>29</v>
      </c>
      <c r="T9" s="9" t="str">
        <f t="shared" si="1"/>
        <v/>
      </c>
      <c r="V9" s="5" t="s">
        <v>37</v>
      </c>
      <c r="W9" s="9">
        <f>IF(COUNTIFS($M$2:$M9,M9,$E$2:$E9,E9)=1,1,0)</f>
        <v>0</v>
      </c>
      <c r="X9" s="9">
        <v>38.062399999999997</v>
      </c>
      <c r="Y9" s="10">
        <v>0.11748969230769232</v>
      </c>
      <c r="Z9" s="9" t="str">
        <f>IF(COUNTIF(K$2:K9,K9)=1,SUMIF(K:K,K9,H:H)/SUMIF(K:K,K9,W:W),"")</f>
        <v/>
      </c>
      <c r="AA9" s="9" t="str">
        <f>IF(COUNTIF($M$2:M9,M9)=1, SUMIF(M:M,M9,X:X), "")</f>
        <v/>
      </c>
      <c r="AB9" s="9" t="str">
        <f>IF(COUNTIF($M$2:M9,M9)=1, SUMIF(M:M,M9,Y:Y), "")</f>
        <v/>
      </c>
    </row>
    <row r="10" spans="1:28" x14ac:dyDescent="0.25">
      <c r="A10" s="5">
        <f ca="1">IF(B10="","",COUNTA($B$2:B10))</f>
        <v>9</v>
      </c>
      <c r="B10" s="6">
        <f t="shared" ca="1" si="0"/>
        <v>46191</v>
      </c>
      <c r="C10" s="5" t="s">
        <v>56</v>
      </c>
      <c r="D10" s="5" t="s">
        <v>57</v>
      </c>
      <c r="E10" s="5" t="s">
        <v>52</v>
      </c>
      <c r="F10" s="5" t="s">
        <v>53</v>
      </c>
      <c r="G10" s="5">
        <v>342</v>
      </c>
      <c r="H10" s="7" t="str">
        <f>IF(COUNTIF($M$2:M10,M10)=1,
SUMIFS($G:$G,$M:$M,M10),
"")</f>
        <v/>
      </c>
      <c r="I10" s="7" t="str">
        <f>IF(E10&lt;&gt;E9,SUMIF(E:E,E10,X:X)," ")</f>
        <v xml:space="preserve"> </v>
      </c>
      <c r="J10" s="8" t="str">
        <f>IF(E10&lt;&gt;E9,SUMIF(E:E,E10,Y:Y)," ")</f>
        <v xml:space="preserve"> </v>
      </c>
      <c r="K10" s="5" t="s">
        <v>35</v>
      </c>
      <c r="L10" s="5" t="s">
        <v>36</v>
      </c>
      <c r="O10" s="9" t="str">
        <f>IF(Q10="","",COUNTIFS($M:$M,M10,$W:$W,"1"))</f>
        <v/>
      </c>
      <c r="P10" s="9" t="s">
        <v>28</v>
      </c>
      <c r="R10" s="5" t="s">
        <v>29</v>
      </c>
      <c r="T10" s="9" t="str">
        <f t="shared" si="1"/>
        <v/>
      </c>
      <c r="V10" s="5" t="s">
        <v>37</v>
      </c>
      <c r="W10" s="9">
        <f>IF(COUNTIFS($M$2:$M10,M10,$E$2:$E10,E10)=1,1,0)</f>
        <v>0</v>
      </c>
      <c r="X10" s="9">
        <v>266.83</v>
      </c>
      <c r="Y10" s="10">
        <v>0.73202793269230781</v>
      </c>
      <c r="Z10" s="9" t="str">
        <f>IF(COUNTIF(K$2:K10,K10)=1,SUMIF(K:K,K10,H:H)/SUMIF(K:K,K10,W:W),"")</f>
        <v/>
      </c>
      <c r="AA10" s="9" t="str">
        <f>IF(COUNTIF($M$2:M10,M10)=1, SUMIF(M:M,M10,X:X), "")</f>
        <v/>
      </c>
      <c r="AB10" s="9" t="str">
        <f>IF(COUNTIF($M$2:M10,M10)=1, SUMIF(M:M,M10,Y:Y), "")</f>
        <v/>
      </c>
    </row>
    <row r="11" spans="1:28" x14ac:dyDescent="0.25">
      <c r="A11" s="5">
        <f ca="1">IF(B11="","",COUNTA($B$2:B11))</f>
        <v>10</v>
      </c>
      <c r="B11" s="6">
        <f t="shared" ca="1" si="0"/>
        <v>46191</v>
      </c>
      <c r="C11" s="5" t="s">
        <v>58</v>
      </c>
      <c r="D11" s="5" t="s">
        <v>59</v>
      </c>
      <c r="E11" s="5" t="s">
        <v>60</v>
      </c>
      <c r="F11" s="5" t="s">
        <v>61</v>
      </c>
      <c r="G11" s="5">
        <v>230</v>
      </c>
      <c r="H11" s="7" t="str">
        <f>IF(COUNTIF($M$2:M11,M11)=1,
SUMIFS($G:$G,$M:$M,M11),
"")</f>
        <v/>
      </c>
      <c r="I11" s="7">
        <f>IF(E11&lt;&gt;E10,SUMIF(E:E,E11,X:X)," ")</f>
        <v>133.50189111111112</v>
      </c>
      <c r="J11" s="8">
        <f>IF(E11&lt;&gt;E10,SUMIF(E:E,E11,Y:Y)," ")</f>
        <v>0.50142928448895741</v>
      </c>
      <c r="K11" s="5" t="s">
        <v>35</v>
      </c>
      <c r="L11" s="5" t="s">
        <v>62</v>
      </c>
      <c r="O11" s="9" t="str">
        <f>IF(Q11="","",COUNTIFS($M:$M,M11,$W:$W,"1"))</f>
        <v/>
      </c>
      <c r="P11" s="9" t="s">
        <v>28</v>
      </c>
      <c r="R11" s="5" t="s">
        <v>29</v>
      </c>
      <c r="T11" s="9" t="str">
        <f t="shared" si="1"/>
        <v/>
      </c>
      <c r="V11" s="5" t="s">
        <v>37</v>
      </c>
      <c r="W11" s="9">
        <f>IF(COUNTIFS($M$2:$M11,M11,$E$2:$E11,E11)=1,1,0)</f>
        <v>0</v>
      </c>
      <c r="X11" s="9">
        <v>108.98189111111111</v>
      </c>
      <c r="Y11" s="10">
        <v>0.32105077487357275</v>
      </c>
      <c r="Z11" s="9" t="str">
        <f>IF(COUNTIF(K$2:K11,K11)=1,SUMIF(K:K,K11,H:H)/SUMIF(K:K,K11,W:W),"")</f>
        <v/>
      </c>
      <c r="AA11" s="9" t="str">
        <f>IF(COUNTIF($M$2:M11,M11)=1, SUMIF(M:M,M11,X:X), "")</f>
        <v/>
      </c>
      <c r="AB11" s="9" t="str">
        <f>IF(COUNTIF($M$2:M11,M11)=1, SUMIF(M:M,M11,Y:Y), "")</f>
        <v/>
      </c>
    </row>
    <row r="12" spans="1:28" x14ac:dyDescent="0.25">
      <c r="A12" s="5">
        <f ca="1">IF(B12="","",COUNTA($B$2:B12))</f>
        <v>11</v>
      </c>
      <c r="B12" s="6">
        <f t="shared" ca="1" si="0"/>
        <v>46191</v>
      </c>
      <c r="C12" s="5" t="s">
        <v>63</v>
      </c>
      <c r="D12" s="5" t="s">
        <v>64</v>
      </c>
      <c r="E12" s="5" t="s">
        <v>60</v>
      </c>
      <c r="F12" s="5" t="s">
        <v>61</v>
      </c>
      <c r="G12" s="5">
        <v>76</v>
      </c>
      <c r="H12" s="7" t="str">
        <f>IF(COUNTIF($M$2:M12,M12)=1,
SUMIFS($G:$G,$M:$M,M12),
"")</f>
        <v/>
      </c>
      <c r="I12" s="7" t="str">
        <f>IF(E12&lt;&gt;E11,SUMIF(E:E,E12,X:X)," ")</f>
        <v xml:space="preserve"> </v>
      </c>
      <c r="J12" s="8" t="str">
        <f>IF(E12&lt;&gt;E11,SUMIF(E:E,E12,Y:Y)," ")</f>
        <v xml:space="preserve"> </v>
      </c>
      <c r="K12" s="5" t="s">
        <v>35</v>
      </c>
      <c r="L12" s="5" t="s">
        <v>62</v>
      </c>
      <c r="O12" s="9" t="str">
        <f>IF(Q12="","",COUNTIFS($M:$M,M12,$W:$W,"1"))</f>
        <v/>
      </c>
      <c r="P12" s="9" t="s">
        <v>28</v>
      </c>
      <c r="R12" s="5" t="s">
        <v>29</v>
      </c>
      <c r="T12" s="9" t="str">
        <f t="shared" si="1"/>
        <v/>
      </c>
      <c r="V12" s="5" t="s">
        <v>37</v>
      </c>
      <c r="W12" s="9">
        <f>IF(COUNTIFS($M$2:$M12,M12,$E$2:$E12,E12)=1,1,0)</f>
        <v>0</v>
      </c>
      <c r="X12" s="9">
        <v>22.119999999999997</v>
      </c>
      <c r="Y12" s="10">
        <v>0.16437850961538464</v>
      </c>
      <c r="Z12" s="9" t="str">
        <f>IF(COUNTIF(K$2:K12,K12)=1,SUMIF(K:K,K12,H:H)/SUMIF(K:K,K12,W:W),"")</f>
        <v/>
      </c>
      <c r="AA12" s="9" t="str">
        <f>IF(COUNTIF($M$2:M12,M12)=1, SUMIF(M:M,M12,X:X), "")</f>
        <v/>
      </c>
      <c r="AB12" s="9" t="str">
        <f>IF(COUNTIF($M$2:M12,M12)=1, SUMIF(M:M,M12,Y:Y), "")</f>
        <v/>
      </c>
    </row>
    <row r="13" spans="1:28" x14ac:dyDescent="0.25">
      <c r="A13" s="5">
        <f ca="1">IF(B13="","",COUNTA($B$2:B13))</f>
        <v>12</v>
      </c>
      <c r="B13" s="6">
        <f t="shared" ca="1" si="0"/>
        <v>46191</v>
      </c>
      <c r="C13" s="5" t="s">
        <v>65</v>
      </c>
      <c r="D13" s="5" t="s">
        <v>66</v>
      </c>
      <c r="E13" s="5" t="s">
        <v>60</v>
      </c>
      <c r="F13" s="5" t="s">
        <v>61</v>
      </c>
      <c r="G13" s="5">
        <v>20</v>
      </c>
      <c r="H13" s="7" t="str">
        <f>IF(COUNTIF($M$2:M13,M13)=1,
SUMIFS($G:$G,$M:$M,M13),
"")</f>
        <v/>
      </c>
      <c r="I13" s="7" t="str">
        <f>IF(E13&lt;&gt;E12,SUMIF(E:E,E13,X:X)," ")</f>
        <v xml:space="preserve"> </v>
      </c>
      <c r="J13" s="8" t="str">
        <f>IF(E13&lt;&gt;E12,SUMIF(E:E,E13,Y:Y)," ")</f>
        <v xml:space="preserve"> </v>
      </c>
      <c r="K13" s="5" t="s">
        <v>35</v>
      </c>
      <c r="L13" s="5" t="s">
        <v>62</v>
      </c>
      <c r="O13" s="9" t="str">
        <f>IF(Q13="","",COUNTIFS($M:$M,M13,$W:$W,"1"))</f>
        <v/>
      </c>
      <c r="P13" s="9" t="s">
        <v>28</v>
      </c>
      <c r="R13" s="5" t="s">
        <v>29</v>
      </c>
      <c r="T13" s="9" t="str">
        <f t="shared" si="1"/>
        <v/>
      </c>
      <c r="V13" s="5" t="s">
        <v>37</v>
      </c>
      <c r="W13" s="9">
        <f>IF(COUNTIFS($M$2:$M13,M13,$E$2:$E13,E13)=1,1,0)</f>
        <v>0</v>
      </c>
      <c r="X13" s="9">
        <v>2.4</v>
      </c>
      <c r="Y13" s="10">
        <v>1.6E-2</v>
      </c>
      <c r="Z13" s="9" t="str">
        <f>IF(COUNTIF(K$2:K13,K13)=1,SUMIF(K:K,K13,H:H)/SUMIF(K:K,K13,W:W),"")</f>
        <v/>
      </c>
      <c r="AA13" s="9" t="str">
        <f>IF(COUNTIF($M$2:M13,M13)=1, SUMIF(M:M,M13,X:X), "")</f>
        <v/>
      </c>
      <c r="AB13" s="9" t="str">
        <f>IF(COUNTIF($M$2:M13,M13)=1, SUMIF(M:M,M13,Y:Y), "")</f>
        <v/>
      </c>
    </row>
    <row r="14" spans="1:28" x14ac:dyDescent="0.25">
      <c r="A14" s="5">
        <f ca="1">IF(B14="","",COUNTA($B$2:B14))</f>
        <v>13</v>
      </c>
      <c r="B14" s="6">
        <f t="shared" ca="1" si="0"/>
        <v>46191</v>
      </c>
      <c r="C14" s="5" t="s">
        <v>67</v>
      </c>
      <c r="D14" s="5" t="s">
        <v>68</v>
      </c>
      <c r="E14" s="5" t="s">
        <v>69</v>
      </c>
      <c r="F14" s="5" t="s">
        <v>70</v>
      </c>
      <c r="G14" s="5">
        <v>199</v>
      </c>
      <c r="H14" s="7" t="str">
        <f>IF(COUNTIF($M$2:M14,M14)=1,
SUMIFS($G:$G,$M:$M,M14),
"")</f>
        <v/>
      </c>
      <c r="I14" s="7">
        <f>IF(E14&lt;&gt;E13,SUMIF(E:E,E14,X:X)," ")</f>
        <v>338.21237142857143</v>
      </c>
      <c r="J14" s="8">
        <f>IF(E14&lt;&gt;E13,SUMIF(E:E,E14,Y:Y)," ")</f>
        <v>1.0495964489136851</v>
      </c>
      <c r="K14" s="5" t="s">
        <v>35</v>
      </c>
      <c r="L14" s="5" t="s">
        <v>62</v>
      </c>
      <c r="O14" s="9" t="str">
        <f>IF(Q14="","",COUNTIFS($M:$M,M14,$W:$W,"1"))</f>
        <v/>
      </c>
      <c r="P14" s="9" t="s">
        <v>28</v>
      </c>
      <c r="R14" s="5" t="s">
        <v>29</v>
      </c>
      <c r="T14" s="9" t="str">
        <f t="shared" si="1"/>
        <v/>
      </c>
      <c r="V14" s="5" t="s">
        <v>37</v>
      </c>
      <c r="W14" s="9">
        <f>IF(COUNTIFS($M$2:$M14,M14,$E$2:$E14,E14)=1,1,0)</f>
        <v>0</v>
      </c>
      <c r="X14" s="9">
        <v>96.509971428571419</v>
      </c>
      <c r="Y14" s="10">
        <v>0.32678601429830045</v>
      </c>
      <c r="Z14" s="9" t="str">
        <f>IF(COUNTIF(K$2:K14,K14)=1,SUMIF(K:K,K14,H:H)/SUMIF(K:K,K14,W:W),"")</f>
        <v/>
      </c>
      <c r="AA14" s="9" t="str">
        <f>IF(COUNTIF($M$2:M14,M14)=1, SUMIF(M:M,M14,X:X), "")</f>
        <v/>
      </c>
      <c r="AB14" s="9" t="str">
        <f>IF(COUNTIF($M$2:M14,M14)=1, SUMIF(M:M,M14,Y:Y), "")</f>
        <v/>
      </c>
    </row>
    <row r="15" spans="1:28" x14ac:dyDescent="0.25">
      <c r="A15" s="5">
        <f ca="1">IF(B15="","",COUNTA($B$2:B15))</f>
        <v>14</v>
      </c>
      <c r="B15" s="6">
        <f t="shared" ca="1" si="0"/>
        <v>46191</v>
      </c>
      <c r="C15" s="5" t="s">
        <v>71</v>
      </c>
      <c r="D15" s="5" t="s">
        <v>72</v>
      </c>
      <c r="E15" s="5" t="s">
        <v>69</v>
      </c>
      <c r="F15" s="5" t="s">
        <v>70</v>
      </c>
      <c r="G15" s="5">
        <v>390</v>
      </c>
      <c r="H15" s="7" t="str">
        <f>IF(COUNTIF($M$2:M15,M15)=1,
SUMIFS($G:$G,$M:$M,M15),
"")</f>
        <v/>
      </c>
      <c r="I15" s="7" t="str">
        <f>IF(E15&lt;&gt;E14,SUMIF(E:E,E15,X:X)," ")</f>
        <v xml:space="preserve"> </v>
      </c>
      <c r="J15" s="8" t="str">
        <f>IF(E15&lt;&gt;E14,SUMIF(E:E,E15,Y:Y)," ")</f>
        <v xml:space="preserve"> </v>
      </c>
      <c r="K15" s="5" t="s">
        <v>35</v>
      </c>
      <c r="L15" s="5" t="s">
        <v>62</v>
      </c>
      <c r="O15" s="9" t="str">
        <f>IF(Q15="","",COUNTIFS($M:$M,M15,$W:$W,"1"))</f>
        <v/>
      </c>
      <c r="P15" s="9" t="s">
        <v>28</v>
      </c>
      <c r="R15" s="5" t="s">
        <v>29</v>
      </c>
      <c r="T15" s="9" t="str">
        <f t="shared" si="1"/>
        <v/>
      </c>
      <c r="V15" s="5" t="s">
        <v>37</v>
      </c>
      <c r="W15" s="9">
        <f>IF(COUNTIFS($M$2:$M15,M15,$E$2:$E15,E15)=1,1,0)</f>
        <v>0</v>
      </c>
      <c r="X15" s="9">
        <v>204.16</v>
      </c>
      <c r="Y15" s="10">
        <v>0.54693896346153847</v>
      </c>
      <c r="Z15" s="9" t="str">
        <f>IF(COUNTIF(K$2:K15,K15)=1,SUMIF(K:K,K15,H:H)/SUMIF(K:K,K15,W:W),"")</f>
        <v/>
      </c>
      <c r="AA15" s="9" t="str">
        <f>IF(COUNTIF($M$2:M15,M15)=1, SUMIF(M:M,M15,X:X), "")</f>
        <v/>
      </c>
      <c r="AB15" s="9" t="str">
        <f>IF(COUNTIF($M$2:M15,M15)=1, SUMIF(M:M,M15,Y:Y), "")</f>
        <v/>
      </c>
    </row>
    <row r="16" spans="1:28" x14ac:dyDescent="0.25">
      <c r="A16" s="5">
        <f ca="1">IF(B16="","",COUNTA($B$2:B16))</f>
        <v>15</v>
      </c>
      <c r="B16" s="6">
        <f t="shared" ca="1" si="0"/>
        <v>46191</v>
      </c>
      <c r="C16" s="5" t="s">
        <v>73</v>
      </c>
      <c r="D16" s="5" t="s">
        <v>74</v>
      </c>
      <c r="E16" s="5" t="s">
        <v>69</v>
      </c>
      <c r="F16" s="5" t="s">
        <v>70</v>
      </c>
      <c r="G16" s="5">
        <v>290</v>
      </c>
      <c r="H16" s="7" t="str">
        <f>IF(COUNTIF($M$2:M16,M16)=1,
SUMIFS($G:$G,$M:$M,M16),
"")</f>
        <v/>
      </c>
      <c r="I16" s="7" t="str">
        <f>IF(E16&lt;&gt;E15,SUMIF(E:E,E16,X:X)," ")</f>
        <v xml:space="preserve"> </v>
      </c>
      <c r="J16" s="8" t="str">
        <f>IF(E16&lt;&gt;E15,SUMIF(E:E,E16,Y:Y)," ")</f>
        <v xml:space="preserve"> </v>
      </c>
      <c r="K16" s="5" t="s">
        <v>35</v>
      </c>
      <c r="L16" s="5" t="s">
        <v>62</v>
      </c>
      <c r="O16" s="9" t="str">
        <f>IF(Q16="","",COUNTIFS($M:$M,M16,$W:$W,"1"))</f>
        <v/>
      </c>
      <c r="P16" s="9" t="s">
        <v>28</v>
      </c>
      <c r="R16" s="5" t="s">
        <v>29</v>
      </c>
      <c r="T16" s="9" t="str">
        <f t="shared" si="1"/>
        <v/>
      </c>
      <c r="V16" s="5" t="s">
        <v>37</v>
      </c>
      <c r="W16" s="9">
        <f>IF(COUNTIFS($M$2:$M16,M16,$E$2:$E16,E16)=1,1,0)</f>
        <v>0</v>
      </c>
      <c r="X16" s="9">
        <v>37.542400000000001</v>
      </c>
      <c r="Y16" s="10">
        <v>0.17587147115384616</v>
      </c>
      <c r="Z16" s="9" t="str">
        <f>IF(COUNTIF(K$2:K16,K16)=1,SUMIF(K:K,K16,H:H)/SUMIF(K:K,K16,W:W),"")</f>
        <v/>
      </c>
      <c r="AA16" s="9" t="str">
        <f>IF(COUNTIF($M$2:M16,M16)=1, SUMIF(M:M,M16,X:X), "")</f>
        <v/>
      </c>
      <c r="AB16" s="9" t="str">
        <f>IF(COUNTIF($M$2:M16,M16)=1, SUMIF(M:M,M16,Y:Y), "")</f>
        <v/>
      </c>
    </row>
    <row r="17" spans="1:28" x14ac:dyDescent="0.25">
      <c r="A17" s="5">
        <f ca="1">IF(B17="","",COUNTA($B$2:B17))</f>
        <v>16</v>
      </c>
      <c r="B17" s="6">
        <f t="shared" ca="1" si="0"/>
        <v>46191</v>
      </c>
      <c r="C17" s="5" t="s">
        <v>75</v>
      </c>
      <c r="D17" s="5" t="s">
        <v>76</v>
      </c>
      <c r="E17" s="5" t="s">
        <v>77</v>
      </c>
      <c r="F17" s="5" t="s">
        <v>78</v>
      </c>
      <c r="G17" s="5">
        <v>185</v>
      </c>
      <c r="H17" s="7" t="str">
        <f>IF(COUNTIF($M$2:M17,M17)=1,
SUMIFS($G:$G,$M:$M,M17),
"")</f>
        <v/>
      </c>
      <c r="I17" s="7">
        <f>IF(E17&lt;&gt;E16,SUMIF(E:E,E17,X:X)," ")</f>
        <v>201.62711904761903</v>
      </c>
      <c r="J17" s="8">
        <f>IF(E17&lt;&gt;E16,SUMIF(E:E,E17,Y:Y)," ")</f>
        <v>0.63938685666264217</v>
      </c>
      <c r="K17" s="5" t="s">
        <v>35</v>
      </c>
      <c r="L17" s="5" t="s">
        <v>62</v>
      </c>
      <c r="O17" s="9" t="str">
        <f>IF(Q17="","",COUNTIFS($M:$M,M17,$W:$W,"1"))</f>
        <v/>
      </c>
      <c r="P17" s="9" t="s">
        <v>28</v>
      </c>
      <c r="R17" s="5" t="s">
        <v>29</v>
      </c>
      <c r="T17" s="9" t="str">
        <f t="shared" si="1"/>
        <v/>
      </c>
      <c r="V17" s="5" t="s">
        <v>37</v>
      </c>
      <c r="W17" s="9">
        <f>IF(COUNTIFS($M$2:$M17,M17,$E$2:$E17,E17)=1,1,0)</f>
        <v>0</v>
      </c>
      <c r="X17" s="9">
        <v>121.85911904761903</v>
      </c>
      <c r="Y17" s="10">
        <v>0.33683604704725761</v>
      </c>
      <c r="Z17" s="9" t="str">
        <f>IF(COUNTIF(K$2:K17,K17)=1,SUMIF(K:K,K17,H:H)/SUMIF(K:K,K17,W:W),"")</f>
        <v/>
      </c>
      <c r="AA17" s="9" t="str">
        <f>IF(COUNTIF($M$2:M17,M17)=1, SUMIF(M:M,M17,X:X), "")</f>
        <v/>
      </c>
      <c r="AB17" s="9" t="str">
        <f>IF(COUNTIF($M$2:M17,M17)=1, SUMIF(M:M,M17,Y:Y), "")</f>
        <v/>
      </c>
    </row>
    <row r="18" spans="1:28" x14ac:dyDescent="0.25">
      <c r="A18" s="5">
        <f ca="1">IF(B18="","",COUNTA($B$2:B18))</f>
        <v>17</v>
      </c>
      <c r="B18" s="6">
        <f t="shared" ca="1" si="0"/>
        <v>46191</v>
      </c>
      <c r="C18" s="5" t="s">
        <v>79</v>
      </c>
      <c r="D18" s="5" t="s">
        <v>80</v>
      </c>
      <c r="E18" s="5" t="s">
        <v>77</v>
      </c>
      <c r="F18" s="5" t="s">
        <v>78</v>
      </c>
      <c r="G18" s="5">
        <v>20</v>
      </c>
      <c r="H18" s="7" t="str">
        <f>IF(COUNTIF($M$2:M18,M18)=1,
SUMIFS($G:$G,$M:$M,M18),
"")</f>
        <v/>
      </c>
      <c r="I18" s="7" t="str">
        <f>IF(E18&lt;&gt;E17,SUMIF(E:E,E18,X:X)," ")</f>
        <v xml:space="preserve"> </v>
      </c>
      <c r="J18" s="8" t="str">
        <f>IF(E18&lt;&gt;E17,SUMIF(E:E,E18,Y:Y)," ")</f>
        <v xml:space="preserve"> </v>
      </c>
      <c r="K18" s="5" t="s">
        <v>35</v>
      </c>
      <c r="L18" s="5" t="s">
        <v>62</v>
      </c>
      <c r="O18" s="9" t="str">
        <f>IF(Q18="","",COUNTIFS($M:$M,M18,$W:$W,"1"))</f>
        <v/>
      </c>
      <c r="P18" s="9" t="s">
        <v>28</v>
      </c>
      <c r="R18" s="5" t="s">
        <v>29</v>
      </c>
      <c r="T18" s="9" t="str">
        <f t="shared" si="1"/>
        <v/>
      </c>
      <c r="V18" s="5" t="s">
        <v>37</v>
      </c>
      <c r="W18" s="9">
        <f>IF(COUNTIFS($M$2:$M18,M18,$E$2:$E18,E18)=1,1,0)</f>
        <v>0</v>
      </c>
      <c r="X18" s="9">
        <v>2.4</v>
      </c>
      <c r="Y18" s="10">
        <v>1.6E-2</v>
      </c>
      <c r="Z18" s="9" t="str">
        <f>IF(COUNTIF(K$2:K18,K18)=1,SUMIF(K:K,K18,H:H)/SUMIF(K:K,K18,W:W),"")</f>
        <v/>
      </c>
      <c r="AA18" s="9" t="str">
        <f>IF(COUNTIF($M$2:M18,M18)=1, SUMIF(M:M,M18,X:X), "")</f>
        <v/>
      </c>
      <c r="AB18" s="9" t="str">
        <f>IF(COUNTIF($M$2:M18,M18)=1, SUMIF(M:M,M18,Y:Y), "")</f>
        <v/>
      </c>
    </row>
    <row r="19" spans="1:28" x14ac:dyDescent="0.25">
      <c r="A19" s="5">
        <f ca="1">IF(B19="","",COUNTA($B$2:B19))</f>
        <v>18</v>
      </c>
      <c r="B19" s="6">
        <f t="shared" ca="1" si="0"/>
        <v>46191</v>
      </c>
      <c r="C19" s="5" t="s">
        <v>81</v>
      </c>
      <c r="D19" s="5" t="s">
        <v>82</v>
      </c>
      <c r="E19" s="5" t="s">
        <v>77</v>
      </c>
      <c r="F19" s="5" t="s">
        <v>78</v>
      </c>
      <c r="G19" s="5">
        <v>214</v>
      </c>
      <c r="H19" s="7" t="str">
        <f>IF(COUNTIF($M$2:M19,M19)=1,
SUMIFS($G:$G,$M:$M,M19),
"")</f>
        <v/>
      </c>
      <c r="I19" s="7" t="str">
        <f>IF(E19&lt;&gt;E18,SUMIF(E:E,E19,X:X)," ")</f>
        <v xml:space="preserve"> </v>
      </c>
      <c r="J19" s="8" t="str">
        <f>IF(E19&lt;&gt;E18,SUMIF(E:E,E19,Y:Y)," ")</f>
        <v xml:space="preserve"> </v>
      </c>
      <c r="K19" s="5" t="s">
        <v>35</v>
      </c>
      <c r="L19" s="5" t="s">
        <v>62</v>
      </c>
      <c r="O19" s="9" t="str">
        <f>IF(Q19="","",COUNTIFS($M:$M,M19,$W:$W,"1"))</f>
        <v/>
      </c>
      <c r="P19" s="9" t="s">
        <v>28</v>
      </c>
      <c r="R19" s="5" t="s">
        <v>29</v>
      </c>
      <c r="T19" s="9" t="str">
        <f t="shared" si="1"/>
        <v/>
      </c>
      <c r="V19" s="5" t="s">
        <v>37</v>
      </c>
      <c r="W19" s="9">
        <f>IF(COUNTIFS($M$2:$M19,M19,$E$2:$E19,E19)=1,1,0)</f>
        <v>0</v>
      </c>
      <c r="X19" s="9">
        <v>77.367999999999995</v>
      </c>
      <c r="Y19" s="10">
        <v>0.28655080961538459</v>
      </c>
      <c r="Z19" s="9" t="str">
        <f>IF(COUNTIF(K$2:K19,K19)=1,SUMIF(K:K,K19,H:H)/SUMIF(K:K,K19,W:W),"")</f>
        <v/>
      </c>
      <c r="AA19" s="9" t="str">
        <f>IF(COUNTIF($M$2:M19,M19)=1, SUMIF(M:M,M19,X:X), "")</f>
        <v/>
      </c>
      <c r="AB19" s="9" t="str">
        <f>IF(COUNTIF($M$2:M19,M19)=1, SUMIF(M:M,M19,Y:Y), "")</f>
        <v/>
      </c>
    </row>
    <row r="20" spans="1:28" x14ac:dyDescent="0.25">
      <c r="A20" s="5">
        <f ca="1">IF(B20="","",COUNTA($B$2:B20))</f>
        <v>19</v>
      </c>
      <c r="B20" s="6">
        <f t="shared" ca="1" si="0"/>
        <v>46191</v>
      </c>
      <c r="C20" s="5" t="s">
        <v>83</v>
      </c>
      <c r="D20" s="5" t="s">
        <v>84</v>
      </c>
      <c r="E20" s="5" t="s">
        <v>85</v>
      </c>
      <c r="F20" s="5" t="s">
        <v>86</v>
      </c>
      <c r="G20" s="5">
        <v>199</v>
      </c>
      <c r="H20" s="7" t="str">
        <f>IF(COUNTIF($M$2:M20,M20)=1,
SUMIFS($G:$G,$M:$M,M20),
"")</f>
        <v/>
      </c>
      <c r="I20" s="7">
        <f>IF(E20&lt;&gt;E19,SUMIF(E:E,E20,X:X)," ")</f>
        <v>154.86301428571429</v>
      </c>
      <c r="J20" s="8">
        <f>IF(E20&lt;&gt;E19,SUMIF(E:E,E20,Y:Y)," ")</f>
        <v>0.51155459185439556</v>
      </c>
      <c r="K20" s="5" t="s">
        <v>35</v>
      </c>
      <c r="L20" s="5" t="s">
        <v>62</v>
      </c>
      <c r="O20" s="9" t="str">
        <f>IF(Q20="","",COUNTIFS($M:$M,M20,$W:$W,"1"))</f>
        <v/>
      </c>
      <c r="P20" s="9" t="s">
        <v>28</v>
      </c>
      <c r="R20" s="5" t="s">
        <v>29</v>
      </c>
      <c r="T20" s="9" t="str">
        <f t="shared" si="1"/>
        <v/>
      </c>
      <c r="V20" s="5" t="s">
        <v>37</v>
      </c>
      <c r="W20" s="9">
        <f>IF(COUNTIFS($M$2:$M20,M20,$E$2:$E20,E20)=1,1,0)</f>
        <v>0</v>
      </c>
      <c r="X20" s="9">
        <v>87.516614285714283</v>
      </c>
      <c r="Y20" s="10">
        <v>0.26566861300824174</v>
      </c>
      <c r="Z20" s="9" t="str">
        <f>IF(COUNTIF(K$2:K20,K20)=1,SUMIF(K:K,K20,H:H)/SUMIF(K:K,K20,W:W),"")</f>
        <v/>
      </c>
      <c r="AA20" s="9" t="str">
        <f>IF(COUNTIF($M$2:M20,M20)=1, SUMIF(M:M,M20,X:X), "")</f>
        <v/>
      </c>
      <c r="AB20" s="9" t="str">
        <f>IF(COUNTIF($M$2:M20,M20)=1, SUMIF(M:M,M20,Y:Y), "")</f>
        <v/>
      </c>
    </row>
    <row r="21" spans="1:28" x14ac:dyDescent="0.25">
      <c r="A21" s="5">
        <f ca="1">IF(B21="","",COUNTA($B$2:B21))</f>
        <v>20</v>
      </c>
      <c r="B21" s="6">
        <f t="shared" ca="1" si="0"/>
        <v>46191</v>
      </c>
      <c r="C21" s="5" t="s">
        <v>87</v>
      </c>
      <c r="D21" s="5" t="s">
        <v>88</v>
      </c>
      <c r="E21" s="5" t="s">
        <v>85</v>
      </c>
      <c r="F21" s="5" t="s">
        <v>86</v>
      </c>
      <c r="G21" s="5">
        <v>222</v>
      </c>
      <c r="H21" s="7" t="str">
        <f>IF(COUNTIF($M$2:M21,M21)=1,
SUMIFS($G:$G,$M:$M,M21),
"")</f>
        <v/>
      </c>
      <c r="I21" s="7" t="str">
        <f>IF(E21&lt;&gt;E20,SUMIF(E:E,E21,X:X)," ")</f>
        <v xml:space="preserve"> </v>
      </c>
      <c r="J21" s="8" t="str">
        <f>IF(E21&lt;&gt;E20,SUMIF(E:E,E21,Y:Y)," ")</f>
        <v xml:space="preserve"> </v>
      </c>
      <c r="K21" s="5" t="s">
        <v>35</v>
      </c>
      <c r="L21" s="5" t="s">
        <v>62</v>
      </c>
      <c r="O21" s="9" t="str">
        <f>IF(Q21="","",COUNTIFS($M:$M,M21,$W:$W,"1"))</f>
        <v/>
      </c>
      <c r="P21" s="9" t="s">
        <v>28</v>
      </c>
      <c r="R21" s="5" t="s">
        <v>29</v>
      </c>
      <c r="T21" s="9" t="str">
        <f t="shared" si="1"/>
        <v/>
      </c>
      <c r="V21" s="5" t="s">
        <v>37</v>
      </c>
      <c r="W21" s="9">
        <f>IF(COUNTIFS($M$2:$M21,M21,$E$2:$E21,E21)=1,1,0)</f>
        <v>0</v>
      </c>
      <c r="X21" s="9">
        <v>57.746400000000008</v>
      </c>
      <c r="Y21" s="10">
        <v>0.18188597884615385</v>
      </c>
      <c r="Z21" s="9" t="str">
        <f>IF(COUNTIF(K$2:K21,K21)=1,SUMIF(K:K,K21,H:H)/SUMIF(K:K,K21,W:W),"")</f>
        <v/>
      </c>
      <c r="AA21" s="9" t="str">
        <f>IF(COUNTIF($M$2:M21,M21)=1, SUMIF(M:M,M21,X:X), "")</f>
        <v/>
      </c>
      <c r="AB21" s="9" t="str">
        <f>IF(COUNTIF($M$2:M21,M21)=1, SUMIF(M:M,M21,Y:Y), "")</f>
        <v/>
      </c>
    </row>
    <row r="22" spans="1:28" x14ac:dyDescent="0.25">
      <c r="A22" s="5">
        <f ca="1">IF(B22="","",COUNTA($B$2:B22))</f>
        <v>21</v>
      </c>
      <c r="B22" s="6">
        <f t="shared" ca="1" si="0"/>
        <v>46191</v>
      </c>
      <c r="C22" s="5" t="s">
        <v>89</v>
      </c>
      <c r="D22" s="5" t="s">
        <v>90</v>
      </c>
      <c r="E22" s="5" t="s">
        <v>85</v>
      </c>
      <c r="F22" s="5" t="s">
        <v>86</v>
      </c>
      <c r="G22" s="5">
        <v>80</v>
      </c>
      <c r="H22" s="7" t="str">
        <f>IF(COUNTIF($M$2:M22,M22)=1,
SUMIFS($G:$G,$M:$M,M22),
"")</f>
        <v/>
      </c>
      <c r="I22" s="7" t="str">
        <f>IF(E22&lt;&gt;E21,SUMIF(E:E,E22,X:X)," ")</f>
        <v xml:space="preserve"> </v>
      </c>
      <c r="J22" s="8" t="str">
        <f>IF(E22&lt;&gt;E21,SUMIF(E:E,E22,Y:Y)," ")</f>
        <v xml:space="preserve"> </v>
      </c>
      <c r="K22" s="5" t="s">
        <v>35</v>
      </c>
      <c r="L22" s="5" t="s">
        <v>62</v>
      </c>
      <c r="O22" s="9" t="str">
        <f>IF(Q22="","",COUNTIFS($M:$M,M22,$W:$W,"1"))</f>
        <v/>
      </c>
      <c r="P22" s="9" t="s">
        <v>28</v>
      </c>
      <c r="R22" s="5" t="s">
        <v>29</v>
      </c>
      <c r="T22" s="9" t="str">
        <f t="shared" si="1"/>
        <v/>
      </c>
      <c r="V22" s="5" t="s">
        <v>37</v>
      </c>
      <c r="W22" s="9">
        <f>IF(COUNTIFS($M$2:$M22,M22,$E$2:$E22,E22)=1,1,0)</f>
        <v>0</v>
      </c>
      <c r="X22" s="9">
        <v>9.6</v>
      </c>
      <c r="Y22" s="10">
        <v>6.4000000000000001E-2</v>
      </c>
      <c r="Z22" s="9" t="str">
        <f>IF(COUNTIF(K$2:K22,K22)=1,SUMIF(K:K,K22,H:H)/SUMIF(K:K,K22,W:W),"")</f>
        <v/>
      </c>
      <c r="AA22" s="9" t="str">
        <f>IF(COUNTIF($M$2:M22,M22)=1, SUMIF(M:M,M22,X:X), "")</f>
        <v/>
      </c>
      <c r="AB22" s="9" t="str">
        <f>IF(COUNTIF($M$2:M22,M22)=1, SUMIF(M:M,M22,Y:Y), "")</f>
        <v/>
      </c>
    </row>
    <row r="23" spans="1:28" x14ac:dyDescent="0.25">
      <c r="A23" s="5">
        <f ca="1">IF(B23="","",COUNTA($B$2:B23))</f>
        <v>22</v>
      </c>
      <c r="B23" s="6">
        <f t="shared" ca="1" si="0"/>
        <v>46191</v>
      </c>
      <c r="C23" s="5" t="s">
        <v>91</v>
      </c>
      <c r="D23" s="5" t="s">
        <v>92</v>
      </c>
      <c r="E23" s="5" t="s">
        <v>93</v>
      </c>
      <c r="F23" s="5" t="s">
        <v>94</v>
      </c>
      <c r="G23" s="5">
        <v>148</v>
      </c>
      <c r="H23" s="7" t="str">
        <f>IF(COUNTIF($M$2:M23,M23)=1,
SUMIFS($G:$G,$M:$M,M23),
"")</f>
        <v/>
      </c>
      <c r="I23" s="7">
        <f>IF(E23&lt;&gt;E22,SUMIF(E:E,E23,X:X)," ")</f>
        <v>115.71854285714285</v>
      </c>
      <c r="J23" s="8">
        <f>IF(E23&lt;&gt;E22,SUMIF(E:E,E23,Y:Y)," ")</f>
        <v>0.44423181142857143</v>
      </c>
      <c r="K23" s="5" t="s">
        <v>35</v>
      </c>
      <c r="L23" s="5" t="s">
        <v>62</v>
      </c>
      <c r="O23" s="9" t="str">
        <f>IF(Q23="","",COUNTIFS($M:$M,M23,$W:$W,"1"))</f>
        <v/>
      </c>
      <c r="P23" s="9" t="s">
        <v>28</v>
      </c>
      <c r="R23" s="5" t="s">
        <v>29</v>
      </c>
      <c r="T23" s="9" t="str">
        <f t="shared" si="1"/>
        <v/>
      </c>
      <c r="V23" s="5" t="s">
        <v>37</v>
      </c>
      <c r="W23" s="9">
        <f>IF(COUNTIFS($M$2:$M23,M23,$E$2:$E23,E23)=1,1,0)</f>
        <v>0</v>
      </c>
      <c r="X23" s="9">
        <v>69.918542857142853</v>
      </c>
      <c r="Y23" s="10">
        <v>0.27976019604395608</v>
      </c>
      <c r="Z23" s="9" t="str">
        <f>IF(COUNTIF(K$2:K23,K23)=1,SUMIF(K:K,K23,H:H)/SUMIF(K:K,K23,W:W),"")</f>
        <v/>
      </c>
      <c r="AA23" s="9" t="str">
        <f>IF(COUNTIF($M$2:M23,M23)=1, SUMIF(M:M,M23,X:X), "")</f>
        <v/>
      </c>
      <c r="AB23" s="9" t="str">
        <f>IF(COUNTIF($M$2:M23,M23)=1, SUMIF(M:M,M23,Y:Y), "")</f>
        <v/>
      </c>
    </row>
    <row r="24" spans="1:28" x14ac:dyDescent="0.25">
      <c r="A24" s="5">
        <f ca="1">IF(B24="","",COUNTA($B$2:B24))</f>
        <v>23</v>
      </c>
      <c r="B24" s="6">
        <f t="shared" ca="1" si="0"/>
        <v>46191</v>
      </c>
      <c r="C24" s="5" t="s">
        <v>95</v>
      </c>
      <c r="D24" s="5" t="s">
        <v>96</v>
      </c>
      <c r="E24" s="5" t="s">
        <v>93</v>
      </c>
      <c r="F24" s="5" t="s">
        <v>94</v>
      </c>
      <c r="G24" s="5">
        <v>84</v>
      </c>
      <c r="H24" s="7" t="str">
        <f>IF(COUNTIF($M$2:M24,M24)=1,
SUMIFS($G:$G,$M:$M,M24),
"")</f>
        <v/>
      </c>
      <c r="I24" s="7" t="str">
        <f>IF(E24&lt;&gt;E23,SUMIF(E:E,E24,X:X)," ")</f>
        <v xml:space="preserve"> </v>
      </c>
      <c r="J24" s="8" t="str">
        <f>IF(E24&lt;&gt;E23,SUMIF(E:E,E24,Y:Y)," ")</f>
        <v xml:space="preserve"> </v>
      </c>
      <c r="K24" s="5" t="s">
        <v>35</v>
      </c>
      <c r="L24" s="5" t="s">
        <v>62</v>
      </c>
      <c r="O24" s="9" t="str">
        <f>IF(Q24="","",COUNTIFS($M:$M,M24,$W:$W,"1"))</f>
        <v/>
      </c>
      <c r="P24" s="9" t="s">
        <v>28</v>
      </c>
      <c r="R24" s="5" t="s">
        <v>29</v>
      </c>
      <c r="T24" s="9" t="str">
        <f t="shared" si="1"/>
        <v/>
      </c>
      <c r="V24" s="5" t="s">
        <v>37</v>
      </c>
      <c r="W24" s="9">
        <f>IF(COUNTIFS($M$2:$M24,M24,$E$2:$E24,E24)=1,1,0)</f>
        <v>0</v>
      </c>
      <c r="X24" s="9">
        <v>38.159999999999997</v>
      </c>
      <c r="Y24" s="10">
        <v>0.11797961538461539</v>
      </c>
      <c r="Z24" s="9" t="str">
        <f>IF(COUNTIF(K$2:K24,K24)=1,SUMIF(K:K,K24,H:H)/SUMIF(K:K,K24,W:W),"")</f>
        <v/>
      </c>
      <c r="AA24" s="9" t="str">
        <f>IF(COUNTIF($M$2:M24,M24)=1, SUMIF(M:M,M24,X:X), "")</f>
        <v/>
      </c>
      <c r="AB24" s="9" t="str">
        <f>IF(COUNTIF($M$2:M24,M24)=1, SUMIF(M:M,M24,Y:Y), "")</f>
        <v/>
      </c>
    </row>
    <row r="25" spans="1:28" x14ac:dyDescent="0.25">
      <c r="A25" s="5">
        <f ca="1">IF(B25="","",COUNTA($B$2:B25))</f>
        <v>24</v>
      </c>
      <c r="B25" s="6">
        <f t="shared" ca="1" si="0"/>
        <v>46191</v>
      </c>
      <c r="C25" s="5" t="s">
        <v>97</v>
      </c>
      <c r="D25" s="5" t="s">
        <v>98</v>
      </c>
      <c r="E25" s="5" t="s">
        <v>93</v>
      </c>
      <c r="F25" s="5" t="s">
        <v>94</v>
      </c>
      <c r="G25" s="5">
        <v>80</v>
      </c>
      <c r="H25" s="7" t="str">
        <f>IF(COUNTIF($M$2:M25,M25)=1,
SUMIFS($G:$G,$M:$M,M25),
"")</f>
        <v/>
      </c>
      <c r="I25" s="7" t="str">
        <f>IF(E25&lt;&gt;E24,SUMIF(E:E,E25,X:X)," ")</f>
        <v xml:space="preserve"> </v>
      </c>
      <c r="J25" s="8" t="str">
        <f>IF(E25&lt;&gt;E24,SUMIF(E:E,E25,Y:Y)," ")</f>
        <v xml:space="preserve"> </v>
      </c>
      <c r="K25" s="5" t="s">
        <v>35</v>
      </c>
      <c r="L25" s="5" t="s">
        <v>62</v>
      </c>
      <c r="O25" s="9" t="str">
        <f>IF(Q25="","",COUNTIFS($M:$M,M25,$W:$W,"1"))</f>
        <v/>
      </c>
      <c r="P25" s="9" t="s">
        <v>28</v>
      </c>
      <c r="R25" s="5" t="s">
        <v>29</v>
      </c>
      <c r="T25" s="9" t="str">
        <f t="shared" si="1"/>
        <v/>
      </c>
      <c r="V25" s="5" t="s">
        <v>37</v>
      </c>
      <c r="W25" s="9">
        <f>IF(COUNTIFS($M$2:$M25,M25,$E$2:$E25,E25)=1,1,0)</f>
        <v>0</v>
      </c>
      <c r="X25" s="9">
        <v>7.6400000000000006</v>
      </c>
      <c r="Y25" s="10">
        <v>4.6491999999999999E-2</v>
      </c>
      <c r="Z25" s="9" t="str">
        <f>IF(COUNTIF(K$2:K25,K25)=1,SUMIF(K:K,K25,H:H)/SUMIF(K:K,K25,W:W),"")</f>
        <v/>
      </c>
      <c r="AA25" s="9" t="str">
        <f>IF(COUNTIF($M$2:M25,M25)=1, SUMIF(M:M,M25,X:X), "")</f>
        <v/>
      </c>
      <c r="AB25" s="9" t="str">
        <f>IF(COUNTIF($M$2:M25,M25)=1, SUMIF(M:M,M25,Y:Y), "")</f>
        <v/>
      </c>
    </row>
    <row r="26" spans="1:28" x14ac:dyDescent="0.25">
      <c r="A26" s="5">
        <f ca="1">IF(B26="","",COUNTA($B$2:B26))</f>
        <v>25</v>
      </c>
      <c r="B26" s="6">
        <f t="shared" ca="1" si="0"/>
        <v>46191</v>
      </c>
      <c r="C26" s="5" t="s">
        <v>99</v>
      </c>
      <c r="D26" s="5" t="s">
        <v>100</v>
      </c>
      <c r="E26" s="5" t="s">
        <v>101</v>
      </c>
      <c r="F26" s="5" t="s">
        <v>102</v>
      </c>
      <c r="G26" s="5">
        <v>202</v>
      </c>
      <c r="H26" s="7" t="str">
        <f>IF(COUNTIF($M$2:M26,M26)=1,
SUMIFS($G:$G,$M:$M,M26),
"")</f>
        <v/>
      </c>
      <c r="I26" s="7">
        <f>IF(E26&lt;&gt;E25,SUMIF(E:E,E26,X:X)," ")</f>
        <v>132.44379999999998</v>
      </c>
      <c r="J26" s="8">
        <f>IF(E26&lt;&gt;E25,SUMIF(E:E,E26,Y:Y)," ")</f>
        <v>0.56794808311245415</v>
      </c>
      <c r="K26" s="5" t="s">
        <v>35</v>
      </c>
      <c r="L26" s="5" t="s">
        <v>62</v>
      </c>
      <c r="O26" s="9" t="str">
        <f>IF(Q26="","",COUNTIFS($M:$M,M26,$W:$W,"1"))</f>
        <v/>
      </c>
      <c r="P26" s="9" t="s">
        <v>28</v>
      </c>
      <c r="R26" s="5" t="s">
        <v>29</v>
      </c>
      <c r="T26" s="9" t="str">
        <f t="shared" si="1"/>
        <v/>
      </c>
      <c r="V26" s="5" t="s">
        <v>37</v>
      </c>
      <c r="W26" s="9">
        <f>IF(COUNTIFS($M$2:$M26,M26,$E$2:$E26,E26)=1,1,0)</f>
        <v>0</v>
      </c>
      <c r="X26" s="9">
        <v>92.367799999999988</v>
      </c>
      <c r="Y26" s="10">
        <v>0.34682064849706956</v>
      </c>
      <c r="Z26" s="9" t="str">
        <f>IF(COUNTIF(K$2:K26,K26)=1,SUMIF(K:K,K26,H:H)/SUMIF(K:K,K26,W:W),"")</f>
        <v/>
      </c>
      <c r="AA26" s="9" t="str">
        <f>IF(COUNTIF($M$2:M26,M26)=1, SUMIF(M:M,M26,X:X), "")</f>
        <v/>
      </c>
      <c r="AB26" s="9" t="str">
        <f>IF(COUNTIF($M$2:M26,M26)=1, SUMIF(M:M,M26,Y:Y), "")</f>
        <v/>
      </c>
    </row>
    <row r="27" spans="1:28" x14ac:dyDescent="0.25">
      <c r="A27" s="5">
        <f ca="1">IF(B27="","",COUNTA($B$2:B27))</f>
        <v>26</v>
      </c>
      <c r="B27" s="6">
        <f t="shared" ca="1" si="0"/>
        <v>46191</v>
      </c>
      <c r="C27" s="5" t="s">
        <v>103</v>
      </c>
      <c r="D27" s="5" t="s">
        <v>104</v>
      </c>
      <c r="E27" s="5" t="s">
        <v>101</v>
      </c>
      <c r="F27" s="5" t="s">
        <v>102</v>
      </c>
      <c r="G27" s="5">
        <v>86</v>
      </c>
      <c r="H27" s="7" t="str">
        <f>IF(COUNTIF($M$2:M27,M27)=1,
SUMIFS($G:$G,$M:$M,M27),
"")</f>
        <v/>
      </c>
      <c r="I27" s="7" t="str">
        <f>IF(E27&lt;&gt;E26,SUMIF(E:E,E27,X:X)," ")</f>
        <v xml:space="preserve"> </v>
      </c>
      <c r="J27" s="8" t="str">
        <f>IF(E27&lt;&gt;E26,SUMIF(E:E,E27,Y:Y)," ")</f>
        <v xml:space="preserve"> </v>
      </c>
      <c r="K27" s="5" t="s">
        <v>35</v>
      </c>
      <c r="L27" s="5" t="s">
        <v>62</v>
      </c>
      <c r="O27" s="9" t="str">
        <f>IF(Q27="","",COUNTIFS($M:$M,M27,$W:$W,"1"))</f>
        <v/>
      </c>
      <c r="P27" s="9" t="s">
        <v>28</v>
      </c>
      <c r="R27" s="5" t="s">
        <v>29</v>
      </c>
      <c r="T27" s="9" t="str">
        <f t="shared" si="1"/>
        <v/>
      </c>
      <c r="V27" s="5" t="s">
        <v>37</v>
      </c>
      <c r="W27" s="9">
        <f>IF(COUNTIFS($M$2:$M27,M27,$E$2:$E27,E27)=1,1,0)</f>
        <v>0</v>
      </c>
      <c r="X27" s="9">
        <v>18.408000000000001</v>
      </c>
      <c r="Y27" s="10">
        <v>7.9865932692307698E-2</v>
      </c>
      <c r="Z27" s="9" t="str">
        <f>IF(COUNTIF(K$2:K27,K27)=1,SUMIF(K:K,K27,H:H)/SUMIF(K:K,K27,W:W),"")</f>
        <v/>
      </c>
      <c r="AA27" s="9" t="str">
        <f>IF(COUNTIF($M$2:M27,M27)=1, SUMIF(M:M,M27,X:X), "")</f>
        <v/>
      </c>
      <c r="AB27" s="9" t="str">
        <f>IF(COUNTIF($M$2:M27,M27)=1, SUMIF(M:M,M27,Y:Y), "")</f>
        <v/>
      </c>
    </row>
    <row r="28" spans="1:28" x14ac:dyDescent="0.25">
      <c r="A28" s="5">
        <f ca="1">IF(B28="","",COUNTA($B$2:B28))</f>
        <v>27</v>
      </c>
      <c r="B28" s="6">
        <f t="shared" ca="1" si="0"/>
        <v>46191</v>
      </c>
      <c r="C28" s="5" t="s">
        <v>105</v>
      </c>
      <c r="D28" s="5" t="s">
        <v>106</v>
      </c>
      <c r="E28" s="5" t="s">
        <v>101</v>
      </c>
      <c r="F28" s="5" t="s">
        <v>102</v>
      </c>
      <c r="G28" s="5">
        <v>224</v>
      </c>
      <c r="H28" s="7" t="str">
        <f>IF(COUNTIF($M$2:M28,M28)=1,
SUMIFS($G:$G,$M:$M,M28),
"")</f>
        <v/>
      </c>
      <c r="I28" s="7" t="str">
        <f>IF(E28&lt;&gt;E27,SUMIF(E:E,E28,X:X)," ")</f>
        <v xml:space="preserve"> </v>
      </c>
      <c r="J28" s="8" t="str">
        <f>IF(E28&lt;&gt;E27,SUMIF(E:E,E28,Y:Y)," ")</f>
        <v xml:space="preserve"> </v>
      </c>
      <c r="K28" s="5" t="s">
        <v>35</v>
      </c>
      <c r="L28" s="5" t="s">
        <v>62</v>
      </c>
      <c r="O28" s="9" t="str">
        <f>IF(Q28="","",COUNTIFS($M:$M,M28,$W:$W,"1"))</f>
        <v/>
      </c>
      <c r="P28" s="9" t="s">
        <v>28</v>
      </c>
      <c r="R28" s="5" t="s">
        <v>29</v>
      </c>
      <c r="T28" s="9" t="str">
        <f t="shared" si="1"/>
        <v/>
      </c>
      <c r="V28" s="5" t="s">
        <v>37</v>
      </c>
      <c r="W28" s="9">
        <f>IF(COUNTIFS($M$2:$M28,M28,$E$2:$E28,E28)=1,1,0)</f>
        <v>0</v>
      </c>
      <c r="X28" s="9">
        <v>21.667999999999999</v>
      </c>
      <c r="Y28" s="10">
        <v>0.1412615019230769</v>
      </c>
      <c r="Z28" s="9" t="str">
        <f>IF(COUNTIF(K$2:K28,K28)=1,SUMIF(K:K,K28,H:H)/SUMIF(K:K,K28,W:W),"")</f>
        <v/>
      </c>
      <c r="AA28" s="9" t="str">
        <f>IF(COUNTIF($M$2:M28,M28)=1, SUMIF(M:M,M28,X:X), "")</f>
        <v/>
      </c>
      <c r="AB28" s="9" t="str">
        <f>IF(COUNTIF($M$2:M28,M28)=1, SUMIF(M:M,M28,Y:Y), "")</f>
        <v/>
      </c>
    </row>
    <row r="29" spans="1:28" x14ac:dyDescent="0.25">
      <c r="A29" s="5">
        <f ca="1">IF(B29="","",COUNTA($B$2:B29))</f>
        <v>28</v>
      </c>
      <c r="B29" s="6">
        <f t="shared" ca="1" si="0"/>
        <v>46191</v>
      </c>
      <c r="C29" s="5" t="s">
        <v>107</v>
      </c>
      <c r="D29" s="5" t="s">
        <v>108</v>
      </c>
      <c r="E29" s="5" t="s">
        <v>109</v>
      </c>
      <c r="F29" s="5" t="s">
        <v>110</v>
      </c>
      <c r="G29" s="5">
        <v>179</v>
      </c>
      <c r="H29" s="7" t="str">
        <f>IF(COUNTIF($M$2:M29,M29)=1,
SUMIFS($G:$G,$M:$M,M29),
"")</f>
        <v/>
      </c>
      <c r="I29" s="7">
        <f>IF(E29&lt;&gt;E28,SUMIF(E:E,E29,X:X)," ")</f>
        <v>214.11767142857144</v>
      </c>
      <c r="J29" s="8">
        <f>IF(E29&lt;&gt;E28,SUMIF(E:E,E29,Y:Y)," ")</f>
        <v>0.67233570456043967</v>
      </c>
      <c r="K29" s="5" t="s">
        <v>35</v>
      </c>
      <c r="L29" s="5" t="s">
        <v>62</v>
      </c>
      <c r="O29" s="9" t="str">
        <f>IF(Q29="","",COUNTIFS($M:$M,M29,$W:$W,"1"))</f>
        <v/>
      </c>
      <c r="P29" s="9" t="s">
        <v>28</v>
      </c>
      <c r="R29" s="5" t="s">
        <v>29</v>
      </c>
      <c r="T29" s="9" t="str">
        <f t="shared" si="1"/>
        <v/>
      </c>
      <c r="V29" s="5" t="s">
        <v>37</v>
      </c>
      <c r="W29" s="9">
        <f>IF(COUNTIFS($M$2:$M29,M29,$E$2:$E29,E29)=1,1,0)</f>
        <v>0</v>
      </c>
      <c r="X29" s="9">
        <v>96.617671428571427</v>
      </c>
      <c r="Y29" s="10">
        <v>0.37817717186813188</v>
      </c>
      <c r="Z29" s="9" t="str">
        <f>IF(COUNTIF(K$2:K29,K29)=1,SUMIF(K:K,K29,H:H)/SUMIF(K:K,K29,W:W),"")</f>
        <v/>
      </c>
      <c r="AA29" s="9" t="str">
        <f>IF(COUNTIF($M$2:M29,M29)=1, SUMIF(M:M,M29,X:X), "")</f>
        <v/>
      </c>
      <c r="AB29" s="9" t="str">
        <f>IF(COUNTIF($M$2:M29,M29)=1, SUMIF(M:M,M29,Y:Y), "")</f>
        <v/>
      </c>
    </row>
    <row r="30" spans="1:28" x14ac:dyDescent="0.25">
      <c r="A30" s="5">
        <f ca="1">IF(B30="","",COUNTA($B$2:B30))</f>
        <v>29</v>
      </c>
      <c r="B30" s="6">
        <f t="shared" ca="1" si="0"/>
        <v>46191</v>
      </c>
      <c r="C30" s="5" t="s">
        <v>111</v>
      </c>
      <c r="D30" s="5" t="s">
        <v>112</v>
      </c>
      <c r="E30" s="5" t="s">
        <v>109</v>
      </c>
      <c r="F30" s="5" t="s">
        <v>110</v>
      </c>
      <c r="G30" s="5">
        <v>20</v>
      </c>
      <c r="H30" s="7" t="str">
        <f>IF(COUNTIF($M$2:M30,M30)=1,
SUMIFS($G:$G,$M:$M,M30),
"")</f>
        <v/>
      </c>
      <c r="I30" s="7" t="str">
        <f>IF(E30&lt;&gt;E29,SUMIF(E:E,E30,X:X)," ")</f>
        <v xml:space="preserve"> </v>
      </c>
      <c r="J30" s="8" t="str">
        <f>IF(E30&lt;&gt;E29,SUMIF(E:E,E30,Y:Y)," ")</f>
        <v xml:space="preserve"> </v>
      </c>
      <c r="K30" s="5" t="s">
        <v>35</v>
      </c>
      <c r="L30" s="5" t="s">
        <v>62</v>
      </c>
      <c r="O30" s="9" t="str">
        <f>IF(Q30="","",COUNTIFS($M:$M,M30,$W:$W,"1"))</f>
        <v/>
      </c>
      <c r="P30" s="9" t="s">
        <v>28</v>
      </c>
      <c r="R30" s="5" t="s">
        <v>29</v>
      </c>
      <c r="T30" s="9" t="str">
        <f t="shared" si="1"/>
        <v/>
      </c>
      <c r="V30" s="5" t="s">
        <v>37</v>
      </c>
      <c r="W30" s="9">
        <f>IF(COUNTIFS($M$2:$M30,M30,$E$2:$E30,E30)=1,1,0)</f>
        <v>0</v>
      </c>
      <c r="X30" s="9">
        <v>2.4</v>
      </c>
      <c r="Y30" s="10">
        <v>1.6E-2</v>
      </c>
      <c r="Z30" s="9" t="str">
        <f>IF(COUNTIF(K$2:K30,K30)=1,SUMIF(K:K,K30,H:H)/SUMIF(K:K,K30,W:W),"")</f>
        <v/>
      </c>
      <c r="AA30" s="9" t="str">
        <f>IF(COUNTIF($M$2:M30,M30)=1, SUMIF(M:M,M30,X:X), "")</f>
        <v/>
      </c>
      <c r="AB30" s="9" t="str">
        <f>IF(COUNTIF($M$2:M30,M30)=1, SUMIF(M:M,M30,Y:Y), "")</f>
        <v/>
      </c>
    </row>
    <row r="31" spans="1:28" x14ac:dyDescent="0.25">
      <c r="A31" s="5">
        <f ca="1">IF(B31="","",COUNTA($B$2:B31))</f>
        <v>30</v>
      </c>
      <c r="B31" s="6">
        <f t="shared" ref="B31:B60" ca="1" si="2">TODAY()+1</f>
        <v>46191</v>
      </c>
      <c r="C31" s="5" t="s">
        <v>113</v>
      </c>
      <c r="D31" s="5" t="s">
        <v>114</v>
      </c>
      <c r="E31" s="5" t="s">
        <v>109</v>
      </c>
      <c r="F31" s="5" t="s">
        <v>110</v>
      </c>
      <c r="G31" s="5">
        <v>172</v>
      </c>
      <c r="H31" s="7" t="str">
        <f>IF(COUNTIF($M$2:M31,M31)=1,
SUMIFS($G:$G,$M:$M,M31),
"")</f>
        <v/>
      </c>
      <c r="I31" s="7" t="str">
        <f>IF(E31&lt;&gt;E30,SUMIF(E:E,E31,X:X)," ")</f>
        <v xml:space="preserve"> </v>
      </c>
      <c r="J31" s="8" t="str">
        <f>IF(E31&lt;&gt;E30,SUMIF(E:E,E31,Y:Y)," ")</f>
        <v xml:space="preserve"> </v>
      </c>
      <c r="K31" s="5" t="s">
        <v>35</v>
      </c>
      <c r="L31" s="5" t="s">
        <v>62</v>
      </c>
      <c r="O31" s="9" t="str">
        <f>IF(Q31="","",COUNTIFS($M:$M,M31,$W:$W,"1"))</f>
        <v/>
      </c>
      <c r="P31" s="9" t="s">
        <v>28</v>
      </c>
      <c r="R31" s="5" t="s">
        <v>29</v>
      </c>
      <c r="T31" s="9" t="str">
        <f t="shared" ref="T31:T60" si="3">IF(OR(Q31="", M31="", N31=""), "", "LOT SAU KHOẢNG " &amp; TEXT(IF(Q31=5, N31+TIME(2,0,0), IF(OR(Q31=7, Q31=8), N31+TIME(2,48,0), IF(Q31=10, N31+TIME(3,48,0), N31))), "hh:mm"))</f>
        <v/>
      </c>
      <c r="V31" s="5" t="s">
        <v>37</v>
      </c>
      <c r="W31" s="9">
        <f>IF(COUNTIFS($M$2:$M31,M31,$E$2:$E31,E31)=1,1,0)</f>
        <v>0</v>
      </c>
      <c r="X31" s="9">
        <v>115.1</v>
      </c>
      <c r="Y31" s="10">
        <v>0.27815853269230773</v>
      </c>
      <c r="Z31" s="9" t="str">
        <f>IF(COUNTIF(K$2:K31,K31)=1,SUMIF(K:K,K31,H:H)/SUMIF(K:K,K31,W:W),"")</f>
        <v/>
      </c>
      <c r="AA31" s="9" t="str">
        <f>IF(COUNTIF($M$2:M31,M31)=1, SUMIF(M:M,M31,X:X), "")</f>
        <v/>
      </c>
      <c r="AB31" s="9" t="str">
        <f>IF(COUNTIF($M$2:M31,M31)=1, SUMIF(M:M,M31,Y:Y), "")</f>
        <v/>
      </c>
    </row>
    <row r="32" spans="1:28" x14ac:dyDescent="0.25">
      <c r="A32" s="5">
        <f ca="1">IF(B32="","",COUNTA($B$2:B32))</f>
        <v>31</v>
      </c>
      <c r="B32" s="6">
        <f t="shared" ca="1" si="2"/>
        <v>46191</v>
      </c>
      <c r="C32" s="5" t="s">
        <v>115</v>
      </c>
      <c r="D32" s="5" t="s">
        <v>116</v>
      </c>
      <c r="E32" s="5" t="s">
        <v>117</v>
      </c>
      <c r="F32" s="5" t="s">
        <v>118</v>
      </c>
      <c r="G32" s="5">
        <v>373</v>
      </c>
      <c r="H32" s="7" t="str">
        <f>IF(COUNTIF($M$2:M32,M32)=1,
SUMIFS($G:$G,$M:$M,M32),
"")</f>
        <v/>
      </c>
      <c r="I32" s="7">
        <f>IF(E32&lt;&gt;E31,SUMIF(E:E,E32,X:X)," ")</f>
        <v>339.37160519480517</v>
      </c>
      <c r="J32" s="8">
        <f>IF(E32&lt;&gt;E31,SUMIF(E:E,E32,Y:Y)," ")</f>
        <v>1.1188919546041416</v>
      </c>
      <c r="K32" s="5" t="s">
        <v>35</v>
      </c>
      <c r="L32" s="5" t="s">
        <v>62</v>
      </c>
      <c r="O32" s="9" t="str">
        <f>IF(Q32="","",COUNTIFS($M:$M,M32,$W:$W,"1"))</f>
        <v/>
      </c>
      <c r="P32" s="9" t="s">
        <v>28</v>
      </c>
      <c r="R32" s="5" t="s">
        <v>29</v>
      </c>
      <c r="T32" s="9" t="str">
        <f t="shared" si="3"/>
        <v/>
      </c>
      <c r="V32" s="5" t="s">
        <v>37</v>
      </c>
      <c r="W32" s="9">
        <f>IF(COUNTIFS($M$2:$M32,M32,$E$2:$E32,E32)=1,1,0)</f>
        <v>0</v>
      </c>
      <c r="X32" s="9">
        <v>171.30200519480519</v>
      </c>
      <c r="Y32" s="10">
        <v>0.70722946575798773</v>
      </c>
      <c r="Z32" s="9" t="str">
        <f>IF(COUNTIF(K$2:K32,K32)=1,SUMIF(K:K,K32,H:H)/SUMIF(K:K,K32,W:W),"")</f>
        <v/>
      </c>
      <c r="AA32" s="9" t="str">
        <f>IF(COUNTIF($M$2:M32,M32)=1, SUMIF(M:M,M32,X:X), "")</f>
        <v/>
      </c>
      <c r="AB32" s="9" t="str">
        <f>IF(COUNTIF($M$2:M32,M32)=1, SUMIF(M:M,M32,Y:Y), "")</f>
        <v/>
      </c>
    </row>
    <row r="33" spans="1:28" x14ac:dyDescent="0.25">
      <c r="A33" s="5">
        <f ca="1">IF(B33="","",COUNTA($B$2:B33))</f>
        <v>32</v>
      </c>
      <c r="B33" s="6">
        <f t="shared" ca="1" si="2"/>
        <v>46191</v>
      </c>
      <c r="C33" s="5" t="s">
        <v>119</v>
      </c>
      <c r="D33" s="5" t="s">
        <v>120</v>
      </c>
      <c r="E33" s="5" t="s">
        <v>117</v>
      </c>
      <c r="F33" s="5" t="s">
        <v>118</v>
      </c>
      <c r="G33" s="5">
        <v>160</v>
      </c>
      <c r="H33" s="7" t="str">
        <f>IF(COUNTIF($M$2:M33,M33)=1,
SUMIFS($G:$G,$M:$M,M33),
"")</f>
        <v/>
      </c>
      <c r="I33" s="7" t="str">
        <f>IF(E33&lt;&gt;E32,SUMIF(E:E,E33,X:X)," ")</f>
        <v xml:space="preserve"> </v>
      </c>
      <c r="J33" s="8" t="str">
        <f>IF(E33&lt;&gt;E32,SUMIF(E:E,E33,Y:Y)," ")</f>
        <v xml:space="preserve"> </v>
      </c>
      <c r="K33" s="5" t="s">
        <v>35</v>
      </c>
      <c r="L33" s="5" t="s">
        <v>62</v>
      </c>
      <c r="O33" s="9" t="str">
        <f>IF(Q33="","",COUNTIFS($M:$M,M33,$W:$W,"1"))</f>
        <v/>
      </c>
      <c r="P33" s="9" t="s">
        <v>28</v>
      </c>
      <c r="R33" s="5" t="s">
        <v>29</v>
      </c>
      <c r="T33" s="9" t="str">
        <f t="shared" si="3"/>
        <v/>
      </c>
      <c r="V33" s="5" t="s">
        <v>37</v>
      </c>
      <c r="W33" s="9">
        <f>IF(COUNTIFS($M$2:$M33,M33,$E$2:$E33,E33)=1,1,0)</f>
        <v>0</v>
      </c>
      <c r="X33" s="9">
        <v>37.389600000000002</v>
      </c>
      <c r="Y33" s="10">
        <v>0.12605567923076924</v>
      </c>
      <c r="Z33" s="9" t="str">
        <f>IF(COUNTIF(K$2:K33,K33)=1,SUMIF(K:K,K33,H:H)/SUMIF(K:K,K33,W:W),"")</f>
        <v/>
      </c>
      <c r="AA33" s="9" t="str">
        <f>IF(COUNTIF($M$2:M33,M33)=1, SUMIF(M:M,M33,X:X), "")</f>
        <v/>
      </c>
      <c r="AB33" s="9" t="str">
        <f>IF(COUNTIF($M$2:M33,M33)=1, SUMIF(M:M,M33,Y:Y), "")</f>
        <v/>
      </c>
    </row>
    <row r="34" spans="1:28" x14ac:dyDescent="0.25">
      <c r="A34" s="5">
        <f ca="1">IF(B34="","",COUNTA($B$2:B34))</f>
        <v>33</v>
      </c>
      <c r="B34" s="6">
        <f t="shared" ca="1" si="2"/>
        <v>46191</v>
      </c>
      <c r="C34" s="5" t="s">
        <v>121</v>
      </c>
      <c r="D34" s="5" t="s">
        <v>122</v>
      </c>
      <c r="E34" s="5" t="s">
        <v>117</v>
      </c>
      <c r="F34" s="5" t="s">
        <v>118</v>
      </c>
      <c r="G34" s="5">
        <v>164</v>
      </c>
      <c r="H34" s="7" t="str">
        <f>IF(COUNTIF($M$2:M34,M34)=1,
SUMIFS($G:$G,$M:$M,M34),
"")</f>
        <v/>
      </c>
      <c r="I34" s="7" t="str">
        <f>IF(E34&lt;&gt;E33,SUMIF(E:E,E34,X:X)," ")</f>
        <v xml:space="preserve"> </v>
      </c>
      <c r="J34" s="8" t="str">
        <f>IF(E34&lt;&gt;E33,SUMIF(E:E,E34,Y:Y)," ")</f>
        <v xml:space="preserve"> </v>
      </c>
      <c r="K34" s="5" t="s">
        <v>35</v>
      </c>
      <c r="L34" s="5" t="s">
        <v>62</v>
      </c>
      <c r="O34" s="9" t="str">
        <f>IF(Q34="","",COUNTIFS($M:$M,M34,$W:$W,"1"))</f>
        <v/>
      </c>
      <c r="P34" s="9" t="s">
        <v>28</v>
      </c>
      <c r="R34" s="5" t="s">
        <v>29</v>
      </c>
      <c r="T34" s="9" t="str">
        <f t="shared" si="3"/>
        <v/>
      </c>
      <c r="V34" s="5" t="s">
        <v>37</v>
      </c>
      <c r="W34" s="9">
        <f>IF(COUNTIFS($M$2:$M34,M34,$E$2:$E34,E34)=1,1,0)</f>
        <v>0</v>
      </c>
      <c r="X34" s="9">
        <v>130.68</v>
      </c>
      <c r="Y34" s="10">
        <v>0.28560680961538465</v>
      </c>
      <c r="Z34" s="9" t="str">
        <f>IF(COUNTIF(K$2:K34,K34)=1,SUMIF(K:K,K34,H:H)/SUMIF(K:K,K34,W:W),"")</f>
        <v/>
      </c>
      <c r="AA34" s="9" t="str">
        <f>IF(COUNTIF($M$2:M34,M34)=1, SUMIF(M:M,M34,X:X), "")</f>
        <v/>
      </c>
      <c r="AB34" s="9" t="str">
        <f>IF(COUNTIF($M$2:M34,M34)=1, SUMIF(M:M,M34,Y:Y), "")</f>
        <v/>
      </c>
    </row>
    <row r="35" spans="1:28" x14ac:dyDescent="0.25">
      <c r="A35" s="5">
        <f ca="1">IF(B35="","",COUNTA($B$2:B35))</f>
        <v>34</v>
      </c>
      <c r="B35" s="6">
        <f t="shared" ca="1" si="2"/>
        <v>46191</v>
      </c>
      <c r="C35" s="5" t="s">
        <v>123</v>
      </c>
      <c r="D35" s="5" t="s">
        <v>124</v>
      </c>
      <c r="E35" s="5" t="s">
        <v>125</v>
      </c>
      <c r="F35" s="5" t="s">
        <v>126</v>
      </c>
      <c r="G35" s="5">
        <v>108</v>
      </c>
      <c r="H35" s="7" t="str">
        <f>IF(COUNTIF($M$2:M35,M35)=1,
SUMIFS($G:$G,$M:$M,M35),
"")</f>
        <v/>
      </c>
      <c r="I35" s="7">
        <f>IF(E35&lt;&gt;E34,SUMIF(E:E,E35,X:X)," ")</f>
        <v>70.287289010989014</v>
      </c>
      <c r="J35" s="8">
        <f>IF(E35&lt;&gt;E34,SUMIF(E:E,E35,Y:Y)," ")</f>
        <v>0.22787736141927301</v>
      </c>
      <c r="K35" s="5" t="s">
        <v>35</v>
      </c>
      <c r="L35" s="5" t="s">
        <v>62</v>
      </c>
      <c r="O35" s="9" t="str">
        <f>IF(Q35="","",COUNTIFS($M:$M,M35,$W:$W,"1"))</f>
        <v/>
      </c>
      <c r="P35" s="9" t="s">
        <v>28</v>
      </c>
      <c r="R35" s="5" t="s">
        <v>29</v>
      </c>
      <c r="T35" s="9" t="str">
        <f t="shared" si="3"/>
        <v/>
      </c>
      <c r="V35" s="5" t="s">
        <v>37</v>
      </c>
      <c r="W35" s="9">
        <f>IF(COUNTIFS($M$2:$M35,M35,$E$2:$E35,E35)=1,1,0)</f>
        <v>0</v>
      </c>
      <c r="X35" s="9">
        <v>62.527289010989008</v>
      </c>
      <c r="Y35" s="10">
        <v>0.18549774603465763</v>
      </c>
      <c r="Z35" s="9" t="str">
        <f>IF(COUNTIF(K$2:K35,K35)=1,SUMIF(K:K,K35,H:H)/SUMIF(K:K,K35,W:W),"")</f>
        <v/>
      </c>
      <c r="AA35" s="9" t="str">
        <f>IF(COUNTIF($M$2:M35,M35)=1, SUMIF(M:M,M35,X:X), "")</f>
        <v/>
      </c>
      <c r="AB35" s="9" t="str">
        <f>IF(COUNTIF($M$2:M35,M35)=1, SUMIF(M:M,M35,Y:Y), "")</f>
        <v/>
      </c>
    </row>
    <row r="36" spans="1:28" x14ac:dyDescent="0.25">
      <c r="A36" s="5">
        <f ca="1">IF(B36="","",COUNTA($B$2:B36))</f>
        <v>35</v>
      </c>
      <c r="B36" s="6">
        <f t="shared" ca="1" si="2"/>
        <v>46191</v>
      </c>
      <c r="C36" s="5" t="s">
        <v>127</v>
      </c>
      <c r="D36" s="5" t="s">
        <v>128</v>
      </c>
      <c r="E36" s="5" t="s">
        <v>125</v>
      </c>
      <c r="F36" s="5" t="s">
        <v>126</v>
      </c>
      <c r="G36" s="5">
        <v>80</v>
      </c>
      <c r="H36" s="7" t="str">
        <f>IF(COUNTIF($M$2:M36,M36)=1,
SUMIFS($G:$G,$M:$M,M36),
"")</f>
        <v/>
      </c>
      <c r="I36" s="7" t="str">
        <f>IF(E36&lt;&gt;E35,SUMIF(E:E,E36,X:X)," ")</f>
        <v xml:space="preserve"> </v>
      </c>
      <c r="J36" s="8" t="str">
        <f>IF(E36&lt;&gt;E35,SUMIF(E:E,E36,Y:Y)," ")</f>
        <v xml:space="preserve"> </v>
      </c>
      <c r="K36" s="5" t="s">
        <v>35</v>
      </c>
      <c r="L36" s="5" t="s">
        <v>62</v>
      </c>
      <c r="O36" s="9" t="str">
        <f>IF(Q36="","",COUNTIFS($M:$M,M36,$W:$W,"1"))</f>
        <v/>
      </c>
      <c r="P36" s="9" t="s">
        <v>28</v>
      </c>
      <c r="R36" s="5" t="s">
        <v>29</v>
      </c>
      <c r="T36" s="9" t="str">
        <f t="shared" si="3"/>
        <v/>
      </c>
      <c r="V36" s="5" t="s">
        <v>37</v>
      </c>
      <c r="W36" s="9">
        <f>IF(COUNTIFS($M$2:$M36,M36,$E$2:$E36,E36)=1,1,0)</f>
        <v>0</v>
      </c>
      <c r="X36" s="9">
        <v>7.76</v>
      </c>
      <c r="Y36" s="10">
        <v>4.2379615384615391E-2</v>
      </c>
      <c r="Z36" s="9" t="str">
        <f>IF(COUNTIF(K$2:K36,K36)=1,SUMIF(K:K,K36,H:H)/SUMIF(K:K,K36,W:W),"")</f>
        <v/>
      </c>
      <c r="AA36" s="9" t="str">
        <f>IF(COUNTIF($M$2:M36,M36)=1, SUMIF(M:M,M36,X:X), "")</f>
        <v/>
      </c>
      <c r="AB36" s="9" t="str">
        <f>IF(COUNTIF($M$2:M36,M36)=1, SUMIF(M:M,M36,Y:Y), "")</f>
        <v/>
      </c>
    </row>
    <row r="37" spans="1:28" x14ac:dyDescent="0.25">
      <c r="A37" s="5">
        <f ca="1">IF(B37="","",COUNTA($B$2:B37))</f>
        <v>36</v>
      </c>
      <c r="B37" s="6">
        <f t="shared" ca="1" si="2"/>
        <v>46191</v>
      </c>
      <c r="C37" s="5" t="s">
        <v>129</v>
      </c>
      <c r="D37" s="5" t="s">
        <v>130</v>
      </c>
      <c r="E37" s="5" t="s">
        <v>131</v>
      </c>
      <c r="F37" s="5" t="s">
        <v>132</v>
      </c>
      <c r="G37" s="5">
        <v>89</v>
      </c>
      <c r="H37" s="7" t="str">
        <f>IF(COUNTIF($M$2:M37,M37)=1,
SUMIFS($G:$G,$M:$M,M37),
"")</f>
        <v/>
      </c>
      <c r="I37" s="7">
        <f>IF(E37&lt;&gt;E36,SUMIF(E:E,E37,X:X)," ")</f>
        <v>74.830585714285718</v>
      </c>
      <c r="J37" s="8">
        <f>IF(E37&lt;&gt;E36,SUMIF(E:E,E37,Y:Y)," ")</f>
        <v>0.2752983365164835</v>
      </c>
      <c r="K37" s="5" t="s">
        <v>35</v>
      </c>
      <c r="L37" s="5" t="s">
        <v>62</v>
      </c>
      <c r="O37" s="9" t="str">
        <f>IF(Q37="","",COUNTIFS($M:$M,M37,$W:$W,"1"))</f>
        <v/>
      </c>
      <c r="P37" s="9" t="s">
        <v>28</v>
      </c>
      <c r="R37" s="5" t="s">
        <v>29</v>
      </c>
      <c r="T37" s="9" t="str">
        <f t="shared" si="3"/>
        <v/>
      </c>
      <c r="V37" s="5" t="s">
        <v>37</v>
      </c>
      <c r="W37" s="9">
        <f>IF(COUNTIFS($M$2:$M37,M37,$E$2:$E37,E37)=1,1,0)</f>
        <v>0</v>
      </c>
      <c r="X37" s="9">
        <v>25.530585714285714</v>
      </c>
      <c r="Y37" s="10">
        <v>8.5234413439560439E-2</v>
      </c>
      <c r="Z37" s="9" t="str">
        <f>IF(COUNTIF(K$2:K37,K37)=1,SUMIF(K:K,K37,H:H)/SUMIF(K:K,K37,W:W),"")</f>
        <v/>
      </c>
      <c r="AA37" s="9" t="str">
        <f>IF(COUNTIF($M$2:M37,M37)=1, SUMIF(M:M,M37,X:X), "")</f>
        <v/>
      </c>
      <c r="AB37" s="9" t="str">
        <f>IF(COUNTIF($M$2:M37,M37)=1, SUMIF(M:M,M37,Y:Y), "")</f>
        <v/>
      </c>
    </row>
    <row r="38" spans="1:28" x14ac:dyDescent="0.25">
      <c r="A38" s="5">
        <f ca="1">IF(B38="","",COUNTA($B$2:B38))</f>
        <v>37</v>
      </c>
      <c r="B38" s="6">
        <f t="shared" ca="1" si="2"/>
        <v>46191</v>
      </c>
      <c r="C38" s="5" t="s">
        <v>133</v>
      </c>
      <c r="D38" s="5" t="s">
        <v>134</v>
      </c>
      <c r="E38" s="5" t="s">
        <v>131</v>
      </c>
      <c r="F38" s="5" t="s">
        <v>132</v>
      </c>
      <c r="G38" s="5">
        <v>136</v>
      </c>
      <c r="H38" s="7" t="str">
        <f>IF(COUNTIF($M$2:M38,M38)=1,
SUMIFS($G:$G,$M:$M,M38),
"")</f>
        <v/>
      </c>
      <c r="I38" s="7" t="str">
        <f>IF(E38&lt;&gt;E37,SUMIF(E:E,E38,X:X)," ")</f>
        <v xml:space="preserve"> </v>
      </c>
      <c r="J38" s="8" t="str">
        <f>IF(E38&lt;&gt;E37,SUMIF(E:E,E38,Y:Y)," ")</f>
        <v xml:space="preserve"> </v>
      </c>
      <c r="K38" s="5" t="s">
        <v>35</v>
      </c>
      <c r="L38" s="5" t="s">
        <v>62</v>
      </c>
      <c r="O38" s="9" t="str">
        <f>IF(Q38="","",COUNTIFS($M:$M,M38,$W:$W,"1"))</f>
        <v/>
      </c>
      <c r="P38" s="9" t="s">
        <v>28</v>
      </c>
      <c r="R38" s="5" t="s">
        <v>29</v>
      </c>
      <c r="T38" s="9" t="str">
        <f t="shared" si="3"/>
        <v/>
      </c>
      <c r="V38" s="5" t="s">
        <v>37</v>
      </c>
      <c r="W38" s="9">
        <f>IF(COUNTIFS($M$2:$M38,M38,$E$2:$E38,E38)=1,1,0)</f>
        <v>0</v>
      </c>
      <c r="X38" s="9">
        <v>44.3</v>
      </c>
      <c r="Y38" s="10">
        <v>0.15956423076923076</v>
      </c>
      <c r="Z38" s="9" t="str">
        <f>IF(COUNTIF(K$2:K38,K38)=1,SUMIF(K:K,K38,H:H)/SUMIF(K:K,K38,W:W),"")</f>
        <v/>
      </c>
      <c r="AA38" s="9" t="str">
        <f>IF(COUNTIF($M$2:M38,M38)=1, SUMIF(M:M,M38,X:X), "")</f>
        <v/>
      </c>
      <c r="AB38" s="9" t="str">
        <f>IF(COUNTIF($M$2:M38,M38)=1, SUMIF(M:M,M38,Y:Y), "")</f>
        <v/>
      </c>
    </row>
    <row r="39" spans="1:28" x14ac:dyDescent="0.25">
      <c r="A39" s="5">
        <f ca="1">IF(B39="","",COUNTA($B$2:B39))</f>
        <v>38</v>
      </c>
      <c r="B39" s="6">
        <f t="shared" ca="1" si="2"/>
        <v>46191</v>
      </c>
      <c r="C39" s="5" t="s">
        <v>135</v>
      </c>
      <c r="D39" s="5" t="s">
        <v>136</v>
      </c>
      <c r="E39" s="5" t="s">
        <v>131</v>
      </c>
      <c r="F39" s="5" t="s">
        <v>132</v>
      </c>
      <c r="G39" s="5">
        <v>50</v>
      </c>
      <c r="H39" s="7" t="str">
        <f>IF(COUNTIF($M$2:M39,M39)=1,
SUMIFS($G:$G,$M:$M,M39),
"")</f>
        <v/>
      </c>
      <c r="I39" s="7" t="str">
        <f>IF(E39&lt;&gt;E38,SUMIF(E:E,E39,X:X)," ")</f>
        <v xml:space="preserve"> </v>
      </c>
      <c r="J39" s="8" t="str">
        <f>IF(E39&lt;&gt;E38,SUMIF(E:E,E39,Y:Y)," ")</f>
        <v xml:space="preserve"> </v>
      </c>
      <c r="K39" s="5" t="s">
        <v>35</v>
      </c>
      <c r="L39" s="5" t="s">
        <v>62</v>
      </c>
      <c r="O39" s="9" t="str">
        <f>IF(Q39="","",COUNTIFS($M:$M,M39,$W:$W,"1"))</f>
        <v/>
      </c>
      <c r="P39" s="9" t="s">
        <v>28</v>
      </c>
      <c r="R39" s="5" t="s">
        <v>29</v>
      </c>
      <c r="T39" s="9" t="str">
        <f t="shared" si="3"/>
        <v/>
      </c>
      <c r="V39" s="5" t="s">
        <v>37</v>
      </c>
      <c r="W39" s="9">
        <f>IF(COUNTIFS($M$2:$M39,M39,$E$2:$E39,E39)=1,1,0)</f>
        <v>0</v>
      </c>
      <c r="X39" s="9">
        <v>5</v>
      </c>
      <c r="Y39" s="10">
        <v>3.0499692307692304E-2</v>
      </c>
      <c r="Z39" s="9" t="str">
        <f>IF(COUNTIF(K$2:K39,K39)=1,SUMIF(K:K,K39,H:H)/SUMIF(K:K,K39,W:W),"")</f>
        <v/>
      </c>
      <c r="AA39" s="9" t="str">
        <f>IF(COUNTIF($M$2:M39,M39)=1, SUMIF(M:M,M39,X:X), "")</f>
        <v/>
      </c>
      <c r="AB39" s="9" t="str">
        <f>IF(COUNTIF($M$2:M39,M39)=1, SUMIF(M:M,M39,Y:Y), "")</f>
        <v/>
      </c>
    </row>
    <row r="40" spans="1:28" x14ac:dyDescent="0.25">
      <c r="A40" s="5">
        <f ca="1">IF(B40="","",COUNTA($B$2:B40))</f>
        <v>39</v>
      </c>
      <c r="B40" s="6">
        <f t="shared" ca="1" si="2"/>
        <v>46191</v>
      </c>
      <c r="C40" s="5" t="s">
        <v>137</v>
      </c>
      <c r="D40" s="5" t="s">
        <v>138</v>
      </c>
      <c r="E40" s="5" t="s">
        <v>139</v>
      </c>
      <c r="F40" s="5" t="s">
        <v>140</v>
      </c>
      <c r="G40" s="5">
        <v>177</v>
      </c>
      <c r="H40" s="7" t="str">
        <f>IF(COUNTIF($M$2:M40,M40)=1,
SUMIFS($G:$G,$M:$M,M40),
"")</f>
        <v/>
      </c>
      <c r="I40" s="7">
        <f>IF(E40&lt;&gt;E39,SUMIF(E:E,E40,X:X)," ")</f>
        <v>146.73469818181817</v>
      </c>
      <c r="J40" s="8">
        <f>IF(E40&lt;&gt;E39,SUMIF(E:E,E40,Y:Y)," ")</f>
        <v>0.54309075356588044</v>
      </c>
      <c r="K40" s="5" t="s">
        <v>35</v>
      </c>
      <c r="L40" s="5" t="s">
        <v>62</v>
      </c>
      <c r="O40" s="9" t="str">
        <f>IF(Q40="","",COUNTIFS($M:$M,M40,$W:$W,"1"))</f>
        <v/>
      </c>
      <c r="P40" s="9" t="s">
        <v>28</v>
      </c>
      <c r="R40" s="5" t="s">
        <v>29</v>
      </c>
      <c r="T40" s="9" t="str">
        <f t="shared" si="3"/>
        <v/>
      </c>
      <c r="V40" s="5" t="s">
        <v>37</v>
      </c>
      <c r="W40" s="9">
        <f>IF(COUNTIFS($M$2:$M40,M40,$E$2:$E40,E40)=1,1,0)</f>
        <v>0</v>
      </c>
      <c r="X40" s="9">
        <v>58.552298181818173</v>
      </c>
      <c r="Y40" s="10">
        <v>0.20473083048895735</v>
      </c>
      <c r="Z40" s="9" t="str">
        <f>IF(COUNTIF(K$2:K40,K40)=1,SUMIF(K:K,K40,H:H)/SUMIF(K:K,K40,W:W),"")</f>
        <v/>
      </c>
      <c r="AA40" s="9" t="str">
        <f>IF(COUNTIF($M$2:M40,M40)=1, SUMIF(M:M,M40,X:X), "")</f>
        <v/>
      </c>
      <c r="AB40" s="9" t="str">
        <f>IF(COUNTIF($M$2:M40,M40)=1, SUMIF(M:M,M40,Y:Y), "")</f>
        <v/>
      </c>
    </row>
    <row r="41" spans="1:28" x14ac:dyDescent="0.25">
      <c r="A41" s="5">
        <f ca="1">IF(B41="","",COUNTA($B$2:B41))</f>
        <v>40</v>
      </c>
      <c r="B41" s="6">
        <f t="shared" ca="1" si="2"/>
        <v>46191</v>
      </c>
      <c r="C41" s="5" t="s">
        <v>141</v>
      </c>
      <c r="D41" s="5" t="s">
        <v>142</v>
      </c>
      <c r="E41" s="5" t="s">
        <v>139</v>
      </c>
      <c r="F41" s="5" t="s">
        <v>140</v>
      </c>
      <c r="G41" s="5">
        <v>96</v>
      </c>
      <c r="H41" s="7" t="str">
        <f>IF(COUNTIF($M$2:M41,M41)=1,
SUMIFS($G:$G,$M:$M,M41),
"")</f>
        <v/>
      </c>
      <c r="I41" s="7" t="str">
        <f>IF(E41&lt;&gt;E40,SUMIF(E:E,E41,X:X)," ")</f>
        <v xml:space="preserve"> </v>
      </c>
      <c r="J41" s="8" t="str">
        <f>IF(E41&lt;&gt;E40,SUMIF(E:E,E41,Y:Y)," ")</f>
        <v xml:space="preserve"> </v>
      </c>
      <c r="K41" s="5" t="s">
        <v>35</v>
      </c>
      <c r="L41" s="5" t="s">
        <v>62</v>
      </c>
      <c r="O41" s="9" t="str">
        <f>IF(Q41="","",COUNTIFS($M:$M,M41,$W:$W,"1"))</f>
        <v/>
      </c>
      <c r="P41" s="9" t="s">
        <v>28</v>
      </c>
      <c r="R41" s="5" t="s">
        <v>29</v>
      </c>
      <c r="T41" s="9" t="str">
        <f t="shared" si="3"/>
        <v/>
      </c>
      <c r="V41" s="5" t="s">
        <v>37</v>
      </c>
      <c r="W41" s="9">
        <f>IF(COUNTIFS($M$2:$M41,M41,$E$2:$E41,E41)=1,1,0)</f>
        <v>0</v>
      </c>
      <c r="X41" s="9">
        <v>80.12</v>
      </c>
      <c r="Y41" s="10">
        <v>0.29323869230769234</v>
      </c>
      <c r="Z41" s="9" t="str">
        <f>IF(COUNTIF(K$2:K41,K41)=1,SUMIF(K:K,K41,H:H)/SUMIF(K:K,K41,W:W),"")</f>
        <v/>
      </c>
      <c r="AA41" s="9" t="str">
        <f>IF(COUNTIF($M$2:M41,M41)=1, SUMIF(M:M,M41,X:X), "")</f>
        <v/>
      </c>
      <c r="AB41" s="9" t="str">
        <f>IF(COUNTIF($M$2:M41,M41)=1, SUMIF(M:M,M41,Y:Y), "")</f>
        <v/>
      </c>
    </row>
    <row r="42" spans="1:28" x14ac:dyDescent="0.25">
      <c r="A42" s="5">
        <f ca="1">IF(B42="","",COUNTA($B$2:B42))</f>
        <v>41</v>
      </c>
      <c r="B42" s="6">
        <f t="shared" ca="1" si="2"/>
        <v>46191</v>
      </c>
      <c r="C42" s="5" t="s">
        <v>143</v>
      </c>
      <c r="D42" s="5" t="s">
        <v>144</v>
      </c>
      <c r="E42" s="5" t="s">
        <v>139</v>
      </c>
      <c r="F42" s="5" t="s">
        <v>140</v>
      </c>
      <c r="G42" s="5">
        <v>98</v>
      </c>
      <c r="H42" s="7" t="str">
        <f>IF(COUNTIF($M$2:M42,M42)=1,
SUMIFS($G:$G,$M:$M,M42),
"")</f>
        <v/>
      </c>
      <c r="I42" s="7" t="str">
        <f>IF(E42&lt;&gt;E41,SUMIF(E:E,E42,X:X)," ")</f>
        <v xml:space="preserve"> </v>
      </c>
      <c r="J42" s="8" t="str">
        <f>IF(E42&lt;&gt;E41,SUMIF(E:E,E42,Y:Y)," ")</f>
        <v xml:space="preserve"> </v>
      </c>
      <c r="K42" s="5" t="s">
        <v>35</v>
      </c>
      <c r="L42" s="5" t="s">
        <v>62</v>
      </c>
      <c r="O42" s="9" t="str">
        <f>IF(Q42="","",COUNTIFS($M:$M,M42,$W:$W,"1"))</f>
        <v/>
      </c>
      <c r="P42" s="9" t="s">
        <v>28</v>
      </c>
      <c r="R42" s="5" t="s">
        <v>29</v>
      </c>
      <c r="T42" s="9" t="str">
        <f t="shared" si="3"/>
        <v/>
      </c>
      <c r="V42" s="5" t="s">
        <v>37</v>
      </c>
      <c r="W42" s="9">
        <f>IF(COUNTIFS($M$2:$M42,M42,$E$2:$E42,E42)=1,1,0)</f>
        <v>0</v>
      </c>
      <c r="X42" s="9">
        <v>8.0624000000000002</v>
      </c>
      <c r="Y42" s="10">
        <v>4.5121230769230768E-2</v>
      </c>
      <c r="Z42" s="9" t="str">
        <f>IF(COUNTIF(K$2:K42,K42)=1,SUMIF(K:K,K42,H:H)/SUMIF(K:K,K42,W:W),"")</f>
        <v/>
      </c>
      <c r="AA42" s="9" t="str">
        <f>IF(COUNTIF($M$2:M42,M42)=1, SUMIF(M:M,M42,X:X), "")</f>
        <v/>
      </c>
      <c r="AB42" s="9" t="str">
        <f>IF(COUNTIF($M$2:M42,M42)=1, SUMIF(M:M,M42,Y:Y), "")</f>
        <v/>
      </c>
    </row>
    <row r="43" spans="1:28" x14ac:dyDescent="0.25">
      <c r="A43" s="5">
        <f ca="1">IF(B43="","",COUNTA($B$2:B43))</f>
        <v>42</v>
      </c>
      <c r="B43" s="6">
        <f t="shared" ca="1" si="2"/>
        <v>46191</v>
      </c>
      <c r="C43" s="5" t="s">
        <v>145</v>
      </c>
      <c r="D43" s="5" t="s">
        <v>146</v>
      </c>
      <c r="E43" s="5" t="s">
        <v>147</v>
      </c>
      <c r="F43" s="5" t="s">
        <v>148</v>
      </c>
      <c r="G43" s="5">
        <v>196</v>
      </c>
      <c r="H43" s="7" t="str">
        <f>IF(COUNTIF($M$2:M43,M43)=1,
SUMIFS($G:$G,$M:$M,M43),
"")</f>
        <v/>
      </c>
      <c r="I43" s="7">
        <f>IF(E43&lt;&gt;E42,SUMIF(E:E,E43,X:X)," ")</f>
        <v>313.03975238095234</v>
      </c>
      <c r="J43" s="8">
        <f>IF(E43&lt;&gt;E42,SUMIF(E:E,E43,Y:Y)," ")</f>
        <v>1.1178328828571429</v>
      </c>
      <c r="K43" s="5" t="s">
        <v>35</v>
      </c>
      <c r="L43" s="5" t="s">
        <v>149</v>
      </c>
      <c r="O43" s="9" t="str">
        <f>IF(Q43="","",COUNTIFS($M:$M,M43,$W:$W,"1"))</f>
        <v/>
      </c>
      <c r="P43" s="9" t="s">
        <v>28</v>
      </c>
      <c r="R43" s="5" t="s">
        <v>29</v>
      </c>
      <c r="T43" s="9" t="str">
        <f t="shared" si="3"/>
        <v/>
      </c>
      <c r="V43" s="5" t="s">
        <v>37</v>
      </c>
      <c r="W43" s="9">
        <f>IF(COUNTIFS($M$2:$M43,M43,$E$2:$E43,E43)=1,1,0)</f>
        <v>0</v>
      </c>
      <c r="X43" s="9">
        <v>71.079752380952371</v>
      </c>
      <c r="Y43" s="10">
        <v>0.33852520593406593</v>
      </c>
      <c r="Z43" s="9" t="str">
        <f>IF(COUNTIF(K$2:K43,K43)=1,SUMIF(K:K,K43,H:H)/SUMIF(K:K,K43,W:W),"")</f>
        <v/>
      </c>
      <c r="AA43" s="9" t="str">
        <f>IF(COUNTIF($M$2:M43,M43)=1, SUMIF(M:M,M43,X:X), "")</f>
        <v/>
      </c>
      <c r="AB43" s="9" t="str">
        <f>IF(COUNTIF($M$2:M43,M43)=1, SUMIF(M:M,M43,Y:Y), "")</f>
        <v/>
      </c>
    </row>
    <row r="44" spans="1:28" x14ac:dyDescent="0.25">
      <c r="A44" s="5">
        <f ca="1">IF(B44="","",COUNTA($B$2:B44))</f>
        <v>43</v>
      </c>
      <c r="B44" s="6">
        <f t="shared" ca="1" si="2"/>
        <v>46191</v>
      </c>
      <c r="C44" s="5" t="s">
        <v>150</v>
      </c>
      <c r="D44" s="5" t="s">
        <v>151</v>
      </c>
      <c r="E44" s="5" t="s">
        <v>147</v>
      </c>
      <c r="F44" s="5" t="s">
        <v>148</v>
      </c>
      <c r="G44" s="5">
        <v>604</v>
      </c>
      <c r="H44" s="7" t="str">
        <f>IF(COUNTIF($M$2:M44,M44)=1,
SUMIFS($G:$G,$M:$M,M44),
"")</f>
        <v/>
      </c>
      <c r="I44" s="7" t="str">
        <f>IF(E44&lt;&gt;E43,SUMIF(E:E,E44,X:X)," ")</f>
        <v xml:space="preserve"> </v>
      </c>
      <c r="J44" s="8" t="str">
        <f>IF(E44&lt;&gt;E43,SUMIF(E:E,E44,Y:Y)," ")</f>
        <v xml:space="preserve"> </v>
      </c>
      <c r="K44" s="5" t="s">
        <v>35</v>
      </c>
      <c r="L44" s="5" t="s">
        <v>149</v>
      </c>
      <c r="O44" s="9" t="str">
        <f>IF(Q44="","",COUNTIFS($M:$M,M44,$W:$W,"1"))</f>
        <v/>
      </c>
      <c r="P44" s="9" t="s">
        <v>28</v>
      </c>
      <c r="R44" s="5" t="s">
        <v>29</v>
      </c>
      <c r="T44" s="9" t="str">
        <f t="shared" si="3"/>
        <v/>
      </c>
      <c r="V44" s="5" t="s">
        <v>37</v>
      </c>
      <c r="W44" s="9">
        <f>IF(COUNTIFS($M$2:$M44,M44,$E$2:$E44,E44)=1,1,0)</f>
        <v>0</v>
      </c>
      <c r="X44" s="9">
        <v>223.76</v>
      </c>
      <c r="Y44" s="10">
        <v>0.7033518307692308</v>
      </c>
      <c r="Z44" s="9" t="str">
        <f>IF(COUNTIF(K$2:K44,K44)=1,SUMIF(K:K,K44,H:H)/SUMIF(K:K,K44,W:W),"")</f>
        <v/>
      </c>
      <c r="AA44" s="9" t="str">
        <f>IF(COUNTIF($M$2:M44,M44)=1, SUMIF(M:M,M44,X:X), "")</f>
        <v/>
      </c>
      <c r="AB44" s="9" t="str">
        <f>IF(COUNTIF($M$2:M44,M44)=1, SUMIF(M:M,M44,Y:Y), "")</f>
        <v/>
      </c>
    </row>
    <row r="45" spans="1:28" x14ac:dyDescent="0.25">
      <c r="A45" s="5">
        <f ca="1">IF(B45="","",COUNTA($B$2:B45))</f>
        <v>44</v>
      </c>
      <c r="B45" s="6">
        <f t="shared" ca="1" si="2"/>
        <v>46191</v>
      </c>
      <c r="C45" s="5" t="s">
        <v>152</v>
      </c>
      <c r="D45" s="5" t="s">
        <v>153</v>
      </c>
      <c r="E45" s="5" t="s">
        <v>147</v>
      </c>
      <c r="F45" s="5" t="s">
        <v>148</v>
      </c>
      <c r="G45" s="5">
        <v>118</v>
      </c>
      <c r="H45" s="7" t="str">
        <f>IF(COUNTIF($M$2:M45,M45)=1,
SUMIFS($G:$G,$M:$M,M45),
"")</f>
        <v/>
      </c>
      <c r="I45" s="7" t="str">
        <f>IF(E45&lt;&gt;E44,SUMIF(E:E,E45,X:X)," ")</f>
        <v xml:space="preserve"> </v>
      </c>
      <c r="J45" s="8" t="str">
        <f>IF(E45&lt;&gt;E44,SUMIF(E:E,E45,Y:Y)," ")</f>
        <v xml:space="preserve"> </v>
      </c>
      <c r="K45" s="5" t="s">
        <v>35</v>
      </c>
      <c r="L45" s="5" t="s">
        <v>149</v>
      </c>
      <c r="O45" s="9" t="str">
        <f>IF(Q45="","",COUNTIFS($M:$M,M45,$W:$W,"1"))</f>
        <v/>
      </c>
      <c r="P45" s="9" t="s">
        <v>28</v>
      </c>
      <c r="R45" s="5" t="s">
        <v>29</v>
      </c>
      <c r="T45" s="9" t="str">
        <f t="shared" si="3"/>
        <v/>
      </c>
      <c r="V45" s="5" t="s">
        <v>37</v>
      </c>
      <c r="W45" s="9">
        <f>IF(COUNTIFS($M$2:$M45,M45,$E$2:$E45,E45)=1,1,0)</f>
        <v>0</v>
      </c>
      <c r="X45" s="9">
        <v>18.2</v>
      </c>
      <c r="Y45" s="10">
        <v>7.5955846153846152E-2</v>
      </c>
      <c r="Z45" s="9" t="str">
        <f>IF(COUNTIF(K$2:K45,K45)=1,SUMIF(K:K,K45,H:H)/SUMIF(K:K,K45,W:W),"")</f>
        <v/>
      </c>
      <c r="AA45" s="9" t="str">
        <f>IF(COUNTIF($M$2:M45,M45)=1, SUMIF(M:M,M45,X:X), "")</f>
        <v/>
      </c>
      <c r="AB45" s="9" t="str">
        <f>IF(COUNTIF($M$2:M45,M45)=1, SUMIF(M:M,M45,Y:Y), "")</f>
        <v/>
      </c>
    </row>
    <row r="46" spans="1:28" x14ac:dyDescent="0.25">
      <c r="A46" s="5">
        <f ca="1">IF(B46="","",COUNTA($B$2:B46))</f>
        <v>45</v>
      </c>
      <c r="B46" s="6">
        <f t="shared" ca="1" si="2"/>
        <v>46191</v>
      </c>
      <c r="C46" s="5" t="s">
        <v>154</v>
      </c>
      <c r="D46" s="5" t="s">
        <v>155</v>
      </c>
      <c r="E46" s="5" t="s">
        <v>156</v>
      </c>
      <c r="F46" s="5" t="s">
        <v>157</v>
      </c>
      <c r="G46" s="5">
        <v>270</v>
      </c>
      <c r="H46" s="7" t="str">
        <f>IF(COUNTIF($M$2:M46,M46)=1,
SUMIFS($G:$G,$M:$M,M46),
"")</f>
        <v/>
      </c>
      <c r="I46" s="7">
        <f>IF(E46&lt;&gt;E45,SUMIF(E:E,E46,X:X)," ")</f>
        <v>196.32479428571429</v>
      </c>
      <c r="J46" s="8">
        <f>IF(E46&lt;&gt;E45,SUMIF(E:E,E46,Y:Y)," ")</f>
        <v>0.64914798614285729</v>
      </c>
      <c r="K46" s="5" t="s">
        <v>35</v>
      </c>
      <c r="L46" s="5" t="s">
        <v>149</v>
      </c>
      <c r="O46" s="9" t="str">
        <f>IF(Q46="","",COUNTIFS($M:$M,M46,$W:$W,"1"))</f>
        <v/>
      </c>
      <c r="P46" s="9" t="s">
        <v>28</v>
      </c>
      <c r="R46" s="5" t="s">
        <v>29</v>
      </c>
      <c r="T46" s="9" t="str">
        <f t="shared" si="3"/>
        <v/>
      </c>
      <c r="V46" s="5" t="s">
        <v>37</v>
      </c>
      <c r="W46" s="9">
        <f>IF(COUNTIFS($M$2:$M46,M46,$E$2:$E46,E46)=1,1,0)</f>
        <v>0</v>
      </c>
      <c r="X46" s="9">
        <v>136.1247942857143</v>
      </c>
      <c r="Y46" s="10">
        <v>0.44343172460439567</v>
      </c>
      <c r="Z46" s="9" t="str">
        <f>IF(COUNTIF(K$2:K46,K46)=1,SUMIF(K:K,K46,H:H)/SUMIF(K:K,K46,W:W),"")</f>
        <v/>
      </c>
      <c r="AA46" s="9" t="str">
        <f>IF(COUNTIF($M$2:M46,M46)=1, SUMIF(M:M,M46,X:X), "")</f>
        <v/>
      </c>
      <c r="AB46" s="9" t="str">
        <f>IF(COUNTIF($M$2:M46,M46)=1, SUMIF(M:M,M46,Y:Y), "")</f>
        <v/>
      </c>
    </row>
    <row r="47" spans="1:28" x14ac:dyDescent="0.25">
      <c r="A47" s="5">
        <f ca="1">IF(B47="","",COUNTA($B$2:B47))</f>
        <v>46</v>
      </c>
      <c r="B47" s="6">
        <f t="shared" ca="1" si="2"/>
        <v>46191</v>
      </c>
      <c r="C47" s="5" t="s">
        <v>158</v>
      </c>
      <c r="D47" s="5" t="s">
        <v>159</v>
      </c>
      <c r="E47" s="5" t="s">
        <v>156</v>
      </c>
      <c r="F47" s="5" t="s">
        <v>157</v>
      </c>
      <c r="G47" s="5">
        <v>20</v>
      </c>
      <c r="H47" s="7" t="str">
        <f>IF(COUNTIF($M$2:M47,M47)=1,
SUMIFS($G:$G,$M:$M,M47),
"")</f>
        <v/>
      </c>
      <c r="I47" s="7" t="str">
        <f>IF(E47&lt;&gt;E46,SUMIF(E:E,E47,X:X)," ")</f>
        <v xml:space="preserve"> </v>
      </c>
      <c r="J47" s="8" t="str">
        <f>IF(E47&lt;&gt;E46,SUMIF(E:E,E47,Y:Y)," ")</f>
        <v xml:space="preserve"> </v>
      </c>
      <c r="K47" s="5" t="s">
        <v>35</v>
      </c>
      <c r="L47" s="5" t="s">
        <v>149</v>
      </c>
      <c r="O47" s="9" t="str">
        <f>IF(Q47="","",COUNTIFS($M:$M,M47,$W:$W,"1"))</f>
        <v/>
      </c>
      <c r="P47" s="9" t="s">
        <v>28</v>
      </c>
      <c r="R47" s="5" t="s">
        <v>29</v>
      </c>
      <c r="T47" s="9" t="str">
        <f t="shared" si="3"/>
        <v/>
      </c>
      <c r="V47" s="5" t="s">
        <v>37</v>
      </c>
      <c r="W47" s="9">
        <f>IF(COUNTIFS($M$2:$M47,M47,$E$2:$E47,E47)=1,1,0)</f>
        <v>0</v>
      </c>
      <c r="X47" s="9">
        <v>2.4</v>
      </c>
      <c r="Y47" s="10">
        <v>1.6E-2</v>
      </c>
      <c r="Z47" s="9" t="str">
        <f>IF(COUNTIF(K$2:K47,K47)=1,SUMIF(K:K,K47,H:H)/SUMIF(K:K,K47,W:W),"")</f>
        <v/>
      </c>
      <c r="AA47" s="9" t="str">
        <f>IF(COUNTIF($M$2:M47,M47)=1, SUMIF(M:M,M47,X:X), "")</f>
        <v/>
      </c>
      <c r="AB47" s="9" t="str">
        <f>IF(COUNTIF($M$2:M47,M47)=1, SUMIF(M:M,M47,Y:Y), "")</f>
        <v/>
      </c>
    </row>
    <row r="48" spans="1:28" x14ac:dyDescent="0.25">
      <c r="A48" s="5">
        <f ca="1">IF(B48="","",COUNTA($B$2:B48))</f>
        <v>47</v>
      </c>
      <c r="B48" s="6">
        <f t="shared" ca="1" si="2"/>
        <v>46191</v>
      </c>
      <c r="C48" s="5" t="s">
        <v>160</v>
      </c>
      <c r="D48" s="5" t="s">
        <v>161</v>
      </c>
      <c r="E48" s="5" t="s">
        <v>156</v>
      </c>
      <c r="F48" s="5" t="s">
        <v>157</v>
      </c>
      <c r="G48" s="5">
        <v>162</v>
      </c>
      <c r="H48" s="7" t="str">
        <f>IF(COUNTIF($M$2:M48,M48)=1,
SUMIFS($G:$G,$M:$M,M48),
"")</f>
        <v/>
      </c>
      <c r="I48" s="7" t="str">
        <f>IF(E48&lt;&gt;E47,SUMIF(E:E,E48,X:X)," ")</f>
        <v xml:space="preserve"> </v>
      </c>
      <c r="J48" s="8" t="str">
        <f>IF(E48&lt;&gt;E47,SUMIF(E:E,E48,Y:Y)," ")</f>
        <v xml:space="preserve"> </v>
      </c>
      <c r="K48" s="5" t="s">
        <v>35</v>
      </c>
      <c r="L48" s="5" t="s">
        <v>149</v>
      </c>
      <c r="O48" s="9" t="str">
        <f>IF(Q48="","",COUNTIFS($M:$M,M48,$W:$W,"1"))</f>
        <v/>
      </c>
      <c r="P48" s="9" t="s">
        <v>28</v>
      </c>
      <c r="R48" s="5" t="s">
        <v>29</v>
      </c>
      <c r="T48" s="9" t="str">
        <f t="shared" si="3"/>
        <v/>
      </c>
      <c r="V48" s="5" t="s">
        <v>37</v>
      </c>
      <c r="W48" s="9">
        <f>IF(COUNTIFS($M$2:$M48,M48,$E$2:$E48,E48)=1,1,0)</f>
        <v>0</v>
      </c>
      <c r="X48" s="9">
        <v>57.8</v>
      </c>
      <c r="Y48" s="10">
        <v>0.18971626153846155</v>
      </c>
      <c r="Z48" s="9" t="str">
        <f>IF(COUNTIF(K$2:K48,K48)=1,SUMIF(K:K,K48,H:H)/SUMIF(K:K,K48,W:W),"")</f>
        <v/>
      </c>
      <c r="AA48" s="9" t="str">
        <f>IF(COUNTIF($M$2:M48,M48)=1, SUMIF(M:M,M48,X:X), "")</f>
        <v/>
      </c>
      <c r="AB48" s="9" t="str">
        <f>IF(COUNTIF($M$2:M48,M48)=1, SUMIF(M:M,M48,Y:Y), "")</f>
        <v/>
      </c>
    </row>
    <row r="49" spans="1:28" x14ac:dyDescent="0.25">
      <c r="A49" s="5">
        <f ca="1">IF(B49="","",COUNTA($B$2:B49))</f>
        <v>48</v>
      </c>
      <c r="B49" s="6">
        <f t="shared" ca="1" si="2"/>
        <v>46191</v>
      </c>
      <c r="C49" s="5" t="s">
        <v>162</v>
      </c>
      <c r="D49" s="5" t="s">
        <v>163</v>
      </c>
      <c r="E49" s="5" t="s">
        <v>164</v>
      </c>
      <c r="F49" s="5" t="s">
        <v>165</v>
      </c>
      <c r="G49" s="5">
        <v>156</v>
      </c>
      <c r="H49" s="7" t="str">
        <f>IF(COUNTIF($M$2:M49,M49)=1,
SUMIFS($G:$G,$M:$M,M49),
"")</f>
        <v/>
      </c>
      <c r="I49" s="7">
        <f>IF(E49&lt;&gt;E48,SUMIF(E:E,E49,X:X)," ")</f>
        <v>40.71048571428571</v>
      </c>
      <c r="J49" s="8">
        <f>IF(E49&lt;&gt;E48,SUMIF(E:E,E49,Y:Y)," ")</f>
        <v>0.23511810366910862</v>
      </c>
      <c r="K49" s="5" t="s">
        <v>35</v>
      </c>
      <c r="L49" s="5" t="s">
        <v>149</v>
      </c>
      <c r="O49" s="9" t="str">
        <f>IF(Q49="","",COUNTIFS($M:$M,M49,$W:$W,"1"))</f>
        <v/>
      </c>
      <c r="P49" s="9" t="s">
        <v>28</v>
      </c>
      <c r="R49" s="5" t="s">
        <v>29</v>
      </c>
      <c r="T49" s="9" t="str">
        <f t="shared" si="3"/>
        <v/>
      </c>
      <c r="V49" s="5" t="s">
        <v>37</v>
      </c>
      <c r="W49" s="9">
        <f>IF(COUNTIFS($M$2:$M49,M49,$E$2:$E49,E49)=1,1,0)</f>
        <v>0</v>
      </c>
      <c r="X49" s="9">
        <v>25.470485714285715</v>
      </c>
      <c r="Y49" s="10">
        <v>0.14694978636141634</v>
      </c>
      <c r="Z49" s="9" t="str">
        <f>IF(COUNTIF(K$2:K49,K49)=1,SUMIF(K:K,K49,H:H)/SUMIF(K:K,K49,W:W),"")</f>
        <v/>
      </c>
      <c r="AA49" s="9" t="str">
        <f>IF(COUNTIF($M$2:M49,M49)=1, SUMIF(M:M,M49,X:X), "")</f>
        <v/>
      </c>
      <c r="AB49" s="9" t="str">
        <f>IF(COUNTIF($M$2:M49,M49)=1, SUMIF(M:M,M49,Y:Y), "")</f>
        <v/>
      </c>
    </row>
    <row r="50" spans="1:28" x14ac:dyDescent="0.25">
      <c r="A50" s="5">
        <f ca="1">IF(B50="","",COUNTA($B$2:B50))</f>
        <v>49</v>
      </c>
      <c r="B50" s="6">
        <f t="shared" ca="1" si="2"/>
        <v>46191</v>
      </c>
      <c r="C50" s="5" t="s">
        <v>166</v>
      </c>
      <c r="D50" s="5" t="s">
        <v>167</v>
      </c>
      <c r="E50" s="5" t="s">
        <v>164</v>
      </c>
      <c r="F50" s="5" t="s">
        <v>165</v>
      </c>
      <c r="G50" s="5">
        <v>50</v>
      </c>
      <c r="H50" s="7" t="str">
        <f>IF(COUNTIF($M$2:M50,M50)=1,
SUMIFS($G:$G,$M:$M,M50),
"")</f>
        <v/>
      </c>
      <c r="I50" s="7" t="str">
        <f>IF(E50&lt;&gt;E49,SUMIF(E:E,E50,X:X)," ")</f>
        <v xml:space="preserve"> </v>
      </c>
      <c r="J50" s="8" t="str">
        <f>IF(E50&lt;&gt;E49,SUMIF(E:E,E50,Y:Y)," ")</f>
        <v xml:space="preserve"> </v>
      </c>
      <c r="K50" s="5" t="s">
        <v>35</v>
      </c>
      <c r="L50" s="5" t="s">
        <v>149</v>
      </c>
      <c r="O50" s="9" t="str">
        <f>IF(Q50="","",COUNTIFS($M:$M,M50,$W:$W,"1"))</f>
        <v/>
      </c>
      <c r="P50" s="9" t="s">
        <v>28</v>
      </c>
      <c r="R50" s="5" t="s">
        <v>29</v>
      </c>
      <c r="T50" s="9" t="str">
        <f t="shared" si="3"/>
        <v/>
      </c>
      <c r="V50" s="5" t="s">
        <v>37</v>
      </c>
      <c r="W50" s="9">
        <f>IF(COUNTIFS($M$2:$M50,M50,$E$2:$E50,E50)=1,1,0)</f>
        <v>0</v>
      </c>
      <c r="X50" s="9">
        <v>5.04</v>
      </c>
      <c r="Y50" s="10">
        <v>3.1992307692307695E-2</v>
      </c>
      <c r="Z50" s="9" t="str">
        <f>IF(COUNTIF(K$2:K50,K50)=1,SUMIF(K:K,K50,H:H)/SUMIF(K:K,K50,W:W),"")</f>
        <v/>
      </c>
      <c r="AA50" s="9" t="str">
        <f>IF(COUNTIF($M$2:M50,M50)=1, SUMIF(M:M,M50,X:X), "")</f>
        <v/>
      </c>
      <c r="AB50" s="9" t="str">
        <f>IF(COUNTIF($M$2:M50,M50)=1, SUMIF(M:M,M50,Y:Y), "")</f>
        <v/>
      </c>
    </row>
    <row r="51" spans="1:28" x14ac:dyDescent="0.25">
      <c r="A51" s="5">
        <f ca="1">IF(B51="","",COUNTA($B$2:B51))</f>
        <v>50</v>
      </c>
      <c r="B51" s="6">
        <f t="shared" ca="1" si="2"/>
        <v>46191</v>
      </c>
      <c r="C51" s="5" t="s">
        <v>168</v>
      </c>
      <c r="D51" s="5" t="s">
        <v>169</v>
      </c>
      <c r="E51" s="5" t="s">
        <v>164</v>
      </c>
      <c r="F51" s="5" t="s">
        <v>165</v>
      </c>
      <c r="G51" s="5">
        <v>90</v>
      </c>
      <c r="H51" s="7" t="str">
        <f>IF(COUNTIF($M$2:M51,M51)=1,
SUMIFS($G:$G,$M:$M,M51),
"")</f>
        <v/>
      </c>
      <c r="I51" s="7" t="str">
        <f>IF(E51&lt;&gt;E50,SUMIF(E:E,E51,X:X)," ")</f>
        <v xml:space="preserve"> </v>
      </c>
      <c r="J51" s="8" t="str">
        <f>IF(E51&lt;&gt;E50,SUMIF(E:E,E51,Y:Y)," ")</f>
        <v xml:space="preserve"> </v>
      </c>
      <c r="K51" s="5" t="s">
        <v>35</v>
      </c>
      <c r="L51" s="5" t="s">
        <v>149</v>
      </c>
      <c r="O51" s="9" t="str">
        <f>IF(Q51="","",COUNTIFS($M:$M,M51,$W:$W,"1"))</f>
        <v/>
      </c>
      <c r="P51" s="9" t="s">
        <v>28</v>
      </c>
      <c r="R51" s="5" t="s">
        <v>29</v>
      </c>
      <c r="T51" s="9" t="str">
        <f t="shared" si="3"/>
        <v/>
      </c>
      <c r="V51" s="5" t="s">
        <v>37</v>
      </c>
      <c r="W51" s="9">
        <f>IF(COUNTIFS($M$2:$M51,M51,$E$2:$E51,E51)=1,1,0)</f>
        <v>0</v>
      </c>
      <c r="X51" s="9">
        <v>10.199999999999999</v>
      </c>
      <c r="Y51" s="10">
        <v>5.6176009615384617E-2</v>
      </c>
      <c r="Z51" s="9" t="str">
        <f>IF(COUNTIF(K$2:K51,K51)=1,SUMIF(K:K,K51,H:H)/SUMIF(K:K,K51,W:W),"")</f>
        <v/>
      </c>
      <c r="AA51" s="9" t="str">
        <f>IF(COUNTIF($M$2:M51,M51)=1, SUMIF(M:M,M51,X:X), "")</f>
        <v/>
      </c>
      <c r="AB51" s="9" t="str">
        <f>IF(COUNTIF($M$2:M51,M51)=1, SUMIF(M:M,M51,Y:Y), "")</f>
        <v/>
      </c>
    </row>
    <row r="52" spans="1:28" x14ac:dyDescent="0.25">
      <c r="A52" s="5">
        <f ca="1">IF(B52="","",COUNTA($B$2:B52))</f>
        <v>51</v>
      </c>
      <c r="B52" s="6">
        <f t="shared" ca="1" si="2"/>
        <v>46191</v>
      </c>
      <c r="C52" s="5" t="s">
        <v>170</v>
      </c>
      <c r="D52" s="5" t="s">
        <v>171</v>
      </c>
      <c r="E52" s="5" t="s">
        <v>172</v>
      </c>
      <c r="F52" s="5" t="s">
        <v>173</v>
      </c>
      <c r="G52" s="5">
        <v>238</v>
      </c>
      <c r="H52" s="7" t="str">
        <f>IF(COUNTIF($M$2:M52,M52)=1,
SUMIFS($G:$G,$M:$M,M52),
"")</f>
        <v/>
      </c>
      <c r="I52" s="7">
        <f>IF(E52&lt;&gt;E51,SUMIF(E:E,E52,X:X)," ")</f>
        <v>333.40354285714284</v>
      </c>
      <c r="J52" s="8">
        <f>IF(E52&lt;&gt;E51,SUMIF(E:E,E52,Y:Y)," ")</f>
        <v>0.83856572212087921</v>
      </c>
      <c r="K52" s="5" t="s">
        <v>35</v>
      </c>
      <c r="L52" s="5" t="s">
        <v>149</v>
      </c>
      <c r="O52" s="9" t="str">
        <f>IF(Q52="","",COUNTIFS($M:$M,M52,$W:$W,"1"))</f>
        <v/>
      </c>
      <c r="P52" s="9" t="s">
        <v>28</v>
      </c>
      <c r="R52" s="5" t="s">
        <v>29</v>
      </c>
      <c r="T52" s="9" t="str">
        <f t="shared" si="3"/>
        <v/>
      </c>
      <c r="V52" s="5" t="s">
        <v>37</v>
      </c>
      <c r="W52" s="9">
        <f>IF(COUNTIFS($M$2:$M52,M52,$E$2:$E52,E52)=1,1,0)</f>
        <v>0</v>
      </c>
      <c r="X52" s="9">
        <v>151.94354285714286</v>
      </c>
      <c r="Y52" s="10">
        <v>0.3808285375054945</v>
      </c>
      <c r="Z52" s="9" t="str">
        <f>IF(COUNTIF(K$2:K52,K52)=1,SUMIF(K:K,K52,H:H)/SUMIF(K:K,K52,W:W),"")</f>
        <v/>
      </c>
      <c r="AA52" s="9" t="str">
        <f>IF(COUNTIF($M$2:M52,M52)=1, SUMIF(M:M,M52,X:X), "")</f>
        <v/>
      </c>
      <c r="AB52" s="9" t="str">
        <f>IF(COUNTIF($M$2:M52,M52)=1, SUMIF(M:M,M52,Y:Y), "")</f>
        <v/>
      </c>
    </row>
    <row r="53" spans="1:28" x14ac:dyDescent="0.25">
      <c r="A53" s="5">
        <f ca="1">IF(B53="","",COUNTA($B$2:B53))</f>
        <v>52</v>
      </c>
      <c r="B53" s="6">
        <f t="shared" ca="1" si="2"/>
        <v>46191</v>
      </c>
      <c r="C53" s="5" t="s">
        <v>174</v>
      </c>
      <c r="D53" s="5" t="s">
        <v>175</v>
      </c>
      <c r="E53" s="5" t="s">
        <v>172</v>
      </c>
      <c r="F53" s="5" t="s">
        <v>173</v>
      </c>
      <c r="G53" s="5">
        <v>314</v>
      </c>
      <c r="H53" s="7" t="str">
        <f>IF(COUNTIF($M$2:M53,M53)=1,
SUMIFS($G:$G,$M:$M,M53),
"")</f>
        <v/>
      </c>
      <c r="I53" s="7" t="str">
        <f>IF(E53&lt;&gt;E52,SUMIF(E:E,E53,X:X)," ")</f>
        <v xml:space="preserve"> </v>
      </c>
      <c r="J53" s="8" t="str">
        <f>IF(E53&lt;&gt;E52,SUMIF(E:E,E53,Y:Y)," ")</f>
        <v xml:space="preserve"> </v>
      </c>
      <c r="K53" s="5" t="s">
        <v>35</v>
      </c>
      <c r="L53" s="5" t="s">
        <v>149</v>
      </c>
      <c r="O53" s="9" t="str">
        <f>IF(Q53="","",COUNTIFS($M:$M,M53,$W:$W,"1"))</f>
        <v/>
      </c>
      <c r="P53" s="9" t="s">
        <v>28</v>
      </c>
      <c r="R53" s="5" t="s">
        <v>29</v>
      </c>
      <c r="T53" s="9" t="str">
        <f t="shared" si="3"/>
        <v/>
      </c>
      <c r="V53" s="5" t="s">
        <v>37</v>
      </c>
      <c r="W53" s="9">
        <f>IF(COUNTIFS($M$2:$M53,M53,$E$2:$E53,E53)=1,1,0)</f>
        <v>0</v>
      </c>
      <c r="X53" s="9">
        <v>148.58000000000001</v>
      </c>
      <c r="Y53" s="10">
        <v>0.36938410769230778</v>
      </c>
      <c r="Z53" s="9" t="str">
        <f>IF(COUNTIF(K$2:K53,K53)=1,SUMIF(K:K,K53,H:H)/SUMIF(K:K,K53,W:W),"")</f>
        <v/>
      </c>
      <c r="AA53" s="9" t="str">
        <f>IF(COUNTIF($M$2:M53,M53)=1, SUMIF(M:M,M53,X:X), "")</f>
        <v/>
      </c>
      <c r="AB53" s="9" t="str">
        <f>IF(COUNTIF($M$2:M53,M53)=1, SUMIF(M:M,M53,Y:Y), "")</f>
        <v/>
      </c>
    </row>
    <row r="54" spans="1:28" x14ac:dyDescent="0.25">
      <c r="A54" s="5">
        <f ca="1">IF(B54="","",COUNTA($B$2:B54))</f>
        <v>53</v>
      </c>
      <c r="B54" s="6">
        <f t="shared" ca="1" si="2"/>
        <v>46191</v>
      </c>
      <c r="C54" s="5" t="s">
        <v>176</v>
      </c>
      <c r="D54" s="5" t="s">
        <v>177</v>
      </c>
      <c r="E54" s="5" t="s">
        <v>172</v>
      </c>
      <c r="F54" s="5" t="s">
        <v>173</v>
      </c>
      <c r="G54" s="5">
        <v>164</v>
      </c>
      <c r="H54" s="7" t="str">
        <f>IF(COUNTIF($M$2:M54,M54)=1,
SUMIFS($G:$G,$M:$M,M54),
"")</f>
        <v/>
      </c>
      <c r="I54" s="7" t="str">
        <f>IF(E54&lt;&gt;E53,SUMIF(E:E,E54,X:X)," ")</f>
        <v xml:space="preserve"> </v>
      </c>
      <c r="J54" s="8" t="str">
        <f>IF(E54&lt;&gt;E53,SUMIF(E:E,E54,Y:Y)," ")</f>
        <v xml:space="preserve"> </v>
      </c>
      <c r="K54" s="5" t="s">
        <v>35</v>
      </c>
      <c r="L54" s="5" t="s">
        <v>149</v>
      </c>
      <c r="O54" s="9" t="str">
        <f>IF(Q54="","",COUNTIFS($M:$M,M54,$W:$W,"1"))</f>
        <v/>
      </c>
      <c r="P54" s="9" t="s">
        <v>28</v>
      </c>
      <c r="R54" s="5" t="s">
        <v>29</v>
      </c>
      <c r="T54" s="9" t="str">
        <f t="shared" si="3"/>
        <v/>
      </c>
      <c r="V54" s="5" t="s">
        <v>37</v>
      </c>
      <c r="W54" s="9">
        <f>IF(COUNTIFS($M$2:$M54,M54,$E$2:$E54,E54)=1,1,0)</f>
        <v>0</v>
      </c>
      <c r="X54" s="9">
        <v>32.879999999999995</v>
      </c>
      <c r="Y54" s="10">
        <v>8.8353076923076923E-2</v>
      </c>
      <c r="Z54" s="9" t="str">
        <f>IF(COUNTIF(K$2:K54,K54)=1,SUMIF(K:K,K54,H:H)/SUMIF(K:K,K54,W:W),"")</f>
        <v/>
      </c>
      <c r="AA54" s="9" t="str">
        <f>IF(COUNTIF($M$2:M54,M54)=1, SUMIF(M:M,M54,X:X), "")</f>
        <v/>
      </c>
      <c r="AB54" s="9" t="str">
        <f>IF(COUNTIF($M$2:M54,M54)=1, SUMIF(M:M,M54,Y:Y), "")</f>
        <v/>
      </c>
    </row>
    <row r="55" spans="1:28" x14ac:dyDescent="0.25">
      <c r="A55" s="5">
        <f ca="1">IF(B55="","",COUNTA($B$2:B55))</f>
        <v>54</v>
      </c>
      <c r="B55" s="6">
        <f t="shared" ca="1" si="2"/>
        <v>46191</v>
      </c>
      <c r="C55" s="5" t="s">
        <v>178</v>
      </c>
      <c r="D55" s="5" t="s">
        <v>179</v>
      </c>
      <c r="E55" s="5" t="s">
        <v>180</v>
      </c>
      <c r="F55" s="5" t="s">
        <v>181</v>
      </c>
      <c r="G55" s="5">
        <v>230</v>
      </c>
      <c r="H55" s="7" t="str">
        <f>IF(COUNTIF($M$2:M55,M55)=1,
SUMIFS($G:$G,$M:$M,M55),
"")</f>
        <v/>
      </c>
      <c r="I55" s="7">
        <f>IF(E55&lt;&gt;E54,SUMIF(E:E,E55,X:X)," ")</f>
        <v>231.57158927072928</v>
      </c>
      <c r="J55" s="8">
        <f>IF(E55&lt;&gt;E54,SUMIF(E:E,E55,Y:Y)," ")</f>
        <v>0.73786029822675081</v>
      </c>
      <c r="K55" s="5" t="s">
        <v>35</v>
      </c>
      <c r="L55" s="5" t="s">
        <v>149</v>
      </c>
      <c r="O55" s="9" t="str">
        <f>IF(Q55="","",COUNTIFS($M:$M,M55,$W:$W,"1"))</f>
        <v/>
      </c>
      <c r="P55" s="9" t="s">
        <v>28</v>
      </c>
      <c r="R55" s="5" t="s">
        <v>29</v>
      </c>
      <c r="T55" s="9" t="str">
        <f t="shared" si="3"/>
        <v/>
      </c>
      <c r="V55" s="5" t="s">
        <v>37</v>
      </c>
      <c r="W55" s="9">
        <f>IF(COUNTIFS($M$2:$M55,M55,$E$2:$E55,E55)=1,1,0)</f>
        <v>0</v>
      </c>
      <c r="X55" s="9">
        <v>129.60038927072927</v>
      </c>
      <c r="Y55" s="10">
        <v>0.4424177597652123</v>
      </c>
      <c r="Z55" s="9" t="str">
        <f>IF(COUNTIF(K$2:K55,K55)=1,SUMIF(K:K,K55,H:H)/SUMIF(K:K,K55,W:W),"")</f>
        <v/>
      </c>
      <c r="AA55" s="9" t="str">
        <f>IF(COUNTIF($M$2:M55,M55)=1, SUMIF(M:M,M55,X:X), "")</f>
        <v/>
      </c>
      <c r="AB55" s="9" t="str">
        <f>IF(COUNTIF($M$2:M55,M55)=1, SUMIF(M:M,M55,Y:Y), "")</f>
        <v/>
      </c>
    </row>
    <row r="56" spans="1:28" x14ac:dyDescent="0.25">
      <c r="A56" s="5">
        <f ca="1">IF(B56="","",COUNTA($B$2:B56))</f>
        <v>55</v>
      </c>
      <c r="B56" s="6">
        <f t="shared" ca="1" si="2"/>
        <v>46191</v>
      </c>
      <c r="C56" s="5" t="s">
        <v>182</v>
      </c>
      <c r="D56" s="5" t="s">
        <v>183</v>
      </c>
      <c r="E56" s="5" t="s">
        <v>180</v>
      </c>
      <c r="F56" s="5" t="s">
        <v>181</v>
      </c>
      <c r="G56" s="5">
        <v>198</v>
      </c>
      <c r="H56" s="7" t="str">
        <f>IF(COUNTIF($M$2:M56,M56)=1,
SUMIFS($G:$G,$M:$M,M56),
"")</f>
        <v/>
      </c>
      <c r="I56" s="7" t="str">
        <f>IF(E56&lt;&gt;E55,SUMIF(E:E,E56,X:X)," ")</f>
        <v xml:space="preserve"> </v>
      </c>
      <c r="J56" s="8" t="str">
        <f>IF(E56&lt;&gt;E55,SUMIF(E:E,E56,Y:Y)," ")</f>
        <v xml:space="preserve"> </v>
      </c>
      <c r="K56" s="5" t="s">
        <v>35</v>
      </c>
      <c r="L56" s="5" t="s">
        <v>149</v>
      </c>
      <c r="O56" s="9" t="str">
        <f>IF(Q56="","",COUNTIFS($M:$M,M56,$W:$W,"1"))</f>
        <v/>
      </c>
      <c r="P56" s="9" t="s">
        <v>28</v>
      </c>
      <c r="R56" s="5" t="s">
        <v>29</v>
      </c>
      <c r="T56" s="9" t="str">
        <f t="shared" si="3"/>
        <v/>
      </c>
      <c r="V56" s="5" t="s">
        <v>37</v>
      </c>
      <c r="W56" s="9">
        <f>IF(COUNTIFS($M$2:$M56,M56,$E$2:$E56,E56)=1,1,0)</f>
        <v>0</v>
      </c>
      <c r="X56" s="9">
        <v>36.571199999999997</v>
      </c>
      <c r="Y56" s="10">
        <v>0.11167153846153846</v>
      </c>
      <c r="Z56" s="9" t="str">
        <f>IF(COUNTIF(K$2:K56,K56)=1,SUMIF(K:K,K56,H:H)/SUMIF(K:K,K56,W:W),"")</f>
        <v/>
      </c>
      <c r="AA56" s="9" t="str">
        <f>IF(COUNTIF($M$2:M56,M56)=1, SUMIF(M:M,M56,X:X), "")</f>
        <v/>
      </c>
      <c r="AB56" s="9" t="str">
        <f>IF(COUNTIF($M$2:M56,M56)=1, SUMIF(M:M,M56,Y:Y), "")</f>
        <v/>
      </c>
    </row>
    <row r="57" spans="1:28" x14ac:dyDescent="0.25">
      <c r="A57" s="5">
        <f ca="1">IF(B57="","",COUNTA($B$2:B57))</f>
        <v>56</v>
      </c>
      <c r="B57" s="6">
        <f t="shared" ca="1" si="2"/>
        <v>46191</v>
      </c>
      <c r="C57" s="5" t="s">
        <v>184</v>
      </c>
      <c r="D57" s="5" t="s">
        <v>185</v>
      </c>
      <c r="E57" s="5" t="s">
        <v>180</v>
      </c>
      <c r="F57" s="5" t="s">
        <v>181</v>
      </c>
      <c r="G57" s="5">
        <v>96</v>
      </c>
      <c r="H57" s="7" t="str">
        <f>IF(COUNTIF($M$2:M57,M57)=1,
SUMIFS($G:$G,$M:$M,M57),
"")</f>
        <v/>
      </c>
      <c r="I57" s="7" t="str">
        <f>IF(E57&lt;&gt;E56,SUMIF(E:E,E57,X:X)," ")</f>
        <v xml:space="preserve"> </v>
      </c>
      <c r="J57" s="8" t="str">
        <f>IF(E57&lt;&gt;E56,SUMIF(E:E,E57,Y:Y)," ")</f>
        <v xml:space="preserve"> </v>
      </c>
      <c r="K57" s="5" t="s">
        <v>35</v>
      </c>
      <c r="L57" s="5" t="s">
        <v>149</v>
      </c>
      <c r="O57" s="9" t="str">
        <f>IF(Q57="","",COUNTIFS($M:$M,M57,$W:$W,"1"))</f>
        <v/>
      </c>
      <c r="P57" s="9" t="s">
        <v>28</v>
      </c>
      <c r="R57" s="5" t="s">
        <v>29</v>
      </c>
      <c r="T57" s="9" t="str">
        <f t="shared" si="3"/>
        <v/>
      </c>
      <c r="V57" s="5" t="s">
        <v>37</v>
      </c>
      <c r="W57" s="9">
        <f>IF(COUNTIFS($M$2:$M57,M57,$E$2:$E57,E57)=1,1,0)</f>
        <v>0</v>
      </c>
      <c r="X57" s="9">
        <v>65.400000000000006</v>
      </c>
      <c r="Y57" s="10">
        <v>0.18377100000000002</v>
      </c>
      <c r="Z57" s="9" t="str">
        <f>IF(COUNTIF(K$2:K57,K57)=1,SUMIF(K:K,K57,H:H)/SUMIF(K:K,K57,W:W),"")</f>
        <v/>
      </c>
      <c r="AA57" s="9" t="str">
        <f>IF(COUNTIF($M$2:M57,M57)=1, SUMIF(M:M,M57,X:X), "")</f>
        <v/>
      </c>
      <c r="AB57" s="9" t="str">
        <f>IF(COUNTIF($M$2:M57,M57)=1, SUMIF(M:M,M57,Y:Y), "")</f>
        <v/>
      </c>
    </row>
    <row r="58" spans="1:28" x14ac:dyDescent="0.25">
      <c r="A58" s="5">
        <f ca="1">IF(B58="","",COUNTA($B$2:B58))</f>
        <v>57</v>
      </c>
      <c r="B58" s="6">
        <f t="shared" ca="1" si="2"/>
        <v>46191</v>
      </c>
      <c r="C58" s="5" t="s">
        <v>186</v>
      </c>
      <c r="D58" s="5" t="s">
        <v>187</v>
      </c>
      <c r="E58" s="5" t="s">
        <v>188</v>
      </c>
      <c r="F58" s="5" t="s">
        <v>189</v>
      </c>
      <c r="G58" s="5">
        <v>151</v>
      </c>
      <c r="H58" s="7" t="str">
        <f>IF(COUNTIF($M$2:M58,M58)=1,
SUMIFS($G:$G,$M:$M,M58),
"")</f>
        <v/>
      </c>
      <c r="I58" s="7">
        <f>IF(E58&lt;&gt;E57,SUMIF(E:E,E58,X:X)," ")</f>
        <v>147.93282857142856</v>
      </c>
      <c r="J58" s="8">
        <f>IF(E58&lt;&gt;E57,SUMIF(E:E,E58,Y:Y)," ")</f>
        <v>0.51441001794571661</v>
      </c>
      <c r="K58" s="5" t="s">
        <v>35</v>
      </c>
      <c r="L58" s="5" t="s">
        <v>149</v>
      </c>
      <c r="O58" s="9" t="str">
        <f>IF(Q58="","",COUNTIFS($M:$M,M58,$W:$W,"1"))</f>
        <v/>
      </c>
      <c r="P58" s="9" t="s">
        <v>28</v>
      </c>
      <c r="R58" s="5" t="s">
        <v>29</v>
      </c>
      <c r="T58" s="9" t="str">
        <f t="shared" si="3"/>
        <v/>
      </c>
      <c r="V58" s="5" t="s">
        <v>37</v>
      </c>
      <c r="W58" s="9">
        <f>IF(COUNTIFS($M$2:$M58,M58,$E$2:$E58,E58)=1,1,0)</f>
        <v>0</v>
      </c>
      <c r="X58" s="9">
        <v>87.486428571428576</v>
      </c>
      <c r="Y58" s="10">
        <v>0.23280782371494735</v>
      </c>
      <c r="Z58" s="9" t="str">
        <f>IF(COUNTIF(K$2:K58,K58)=1,SUMIF(K:K,K58,H:H)/SUMIF(K:K,K58,W:W),"")</f>
        <v/>
      </c>
      <c r="AA58" s="9" t="str">
        <f>IF(COUNTIF($M$2:M58,M58)=1, SUMIF(M:M,M58,X:X), "")</f>
        <v/>
      </c>
      <c r="AB58" s="9" t="str">
        <f>IF(COUNTIF($M$2:M58,M58)=1, SUMIF(M:M,M58,Y:Y), "")</f>
        <v/>
      </c>
    </row>
    <row r="59" spans="1:28" x14ac:dyDescent="0.25">
      <c r="A59" s="5">
        <f ca="1">IF(B59="","",COUNTA($B$2:B59))</f>
        <v>58</v>
      </c>
      <c r="B59" s="6">
        <f t="shared" ca="1" si="2"/>
        <v>46191</v>
      </c>
      <c r="C59" s="5" t="s">
        <v>190</v>
      </c>
      <c r="D59" s="5" t="s">
        <v>191</v>
      </c>
      <c r="E59" s="5" t="s">
        <v>188</v>
      </c>
      <c r="F59" s="5" t="s">
        <v>189</v>
      </c>
      <c r="G59" s="5">
        <v>232</v>
      </c>
      <c r="H59" s="7" t="str">
        <f>IF(COUNTIF($M$2:M59,M59)=1,
SUMIFS($G:$G,$M:$M,M59),
"")</f>
        <v/>
      </c>
      <c r="I59" s="7" t="str">
        <f>IF(E59&lt;&gt;E58,SUMIF(E:E,E59,X:X)," ")</f>
        <v xml:space="preserve"> </v>
      </c>
      <c r="J59" s="8" t="str">
        <f>IF(E59&lt;&gt;E58,SUMIF(E:E,E59,Y:Y)," ")</f>
        <v xml:space="preserve"> </v>
      </c>
      <c r="K59" s="5" t="s">
        <v>35</v>
      </c>
      <c r="L59" s="5" t="s">
        <v>149</v>
      </c>
      <c r="O59" s="9" t="str">
        <f>IF(Q59="","",COUNTIFS($M:$M,M59,$W:$W,"1"))</f>
        <v/>
      </c>
      <c r="P59" s="9" t="s">
        <v>28</v>
      </c>
      <c r="R59" s="5" t="s">
        <v>29</v>
      </c>
      <c r="T59" s="9" t="str">
        <f t="shared" si="3"/>
        <v/>
      </c>
      <c r="V59" s="5" t="s">
        <v>37</v>
      </c>
      <c r="W59" s="9">
        <f>IF(COUNTIFS($M$2:$M59,M59,$E$2:$E59,E59)=1,1,0)</f>
        <v>0</v>
      </c>
      <c r="X59" s="9">
        <v>53.246399999999994</v>
      </c>
      <c r="Y59" s="10">
        <v>0.23360219423076922</v>
      </c>
      <c r="Z59" s="9" t="str">
        <f>IF(COUNTIF(K$2:K59,K59)=1,SUMIF(K:K,K59,H:H)/SUMIF(K:K,K59,W:W),"")</f>
        <v/>
      </c>
      <c r="AA59" s="9" t="str">
        <f>IF(COUNTIF($M$2:M59,M59)=1, SUMIF(M:M,M59,X:X), "")</f>
        <v/>
      </c>
      <c r="AB59" s="9" t="str">
        <f>IF(COUNTIF($M$2:M59,M59)=1, SUMIF(M:M,M59,Y:Y), "")</f>
        <v/>
      </c>
    </row>
    <row r="60" spans="1:28" x14ac:dyDescent="0.25">
      <c r="A60" s="5">
        <f ca="1">IF(B60="","",COUNTA($B$2:B60))</f>
        <v>59</v>
      </c>
      <c r="B60" s="6">
        <f t="shared" ca="1" si="2"/>
        <v>46191</v>
      </c>
      <c r="C60" s="5" t="s">
        <v>192</v>
      </c>
      <c r="D60" s="5" t="s">
        <v>193</v>
      </c>
      <c r="E60" s="5" t="s">
        <v>188</v>
      </c>
      <c r="F60" s="5" t="s">
        <v>189</v>
      </c>
      <c r="G60" s="5">
        <v>60</v>
      </c>
      <c r="H60" s="7" t="str">
        <f>IF(COUNTIF($M$2:M60,M60)=1,
SUMIFS($G:$G,$M:$M,M60),
"")</f>
        <v/>
      </c>
      <c r="I60" s="7" t="str">
        <f>IF(E60&lt;&gt;E59,SUMIF(E:E,E60,X:X)," ")</f>
        <v xml:space="preserve"> </v>
      </c>
      <c r="J60" s="8" t="str">
        <f>IF(E60&lt;&gt;E59,SUMIF(E:E,E60,Y:Y)," ")</f>
        <v xml:space="preserve"> </v>
      </c>
      <c r="K60" s="5" t="s">
        <v>35</v>
      </c>
      <c r="L60" s="5" t="s">
        <v>149</v>
      </c>
      <c r="O60" s="9" t="str">
        <f>IF(Q60="","",COUNTIFS($M:$M,M60,$W:$W,"1"))</f>
        <v/>
      </c>
      <c r="P60" s="9" t="s">
        <v>28</v>
      </c>
      <c r="R60" s="5" t="s">
        <v>29</v>
      </c>
      <c r="T60" s="9" t="str">
        <f t="shared" si="3"/>
        <v/>
      </c>
      <c r="V60" s="5" t="s">
        <v>37</v>
      </c>
      <c r="W60" s="9">
        <f>IF(COUNTIFS($M$2:$M60,M60,$E$2:$E60,E60)=1,1,0)</f>
        <v>0</v>
      </c>
      <c r="X60" s="9">
        <v>7.1999999999999993</v>
      </c>
      <c r="Y60" s="10">
        <v>4.8000000000000001E-2</v>
      </c>
      <c r="Z60" s="9" t="str">
        <f>IF(COUNTIF(K$2:K60,K60)=1,SUMIF(K:K,K60,H:H)/SUMIF(K:K,K60,W:W),"")</f>
        <v/>
      </c>
      <c r="AA60" s="9" t="str">
        <f>IF(COUNTIF($M$2:M60,M60)=1, SUMIF(M:M,M60,X:X), "")</f>
        <v/>
      </c>
      <c r="AB60" s="9" t="str">
        <f>IF(COUNTIF($M$2:M60,M60)=1, SUMIF(M:M,M60,Y:Y), "")</f>
        <v/>
      </c>
    </row>
    <row r="61" spans="1:28" x14ac:dyDescent="0.25">
      <c r="A61" s="5">
        <f ca="1">IF(B61="","",COUNTA($B$2:B61))</f>
        <v>60</v>
      </c>
      <c r="B61" s="6">
        <f t="shared" ref="B61:B90" ca="1" si="4">TODAY()+1</f>
        <v>46191</v>
      </c>
      <c r="C61" s="5" t="s">
        <v>194</v>
      </c>
      <c r="D61" s="5" t="s">
        <v>195</v>
      </c>
      <c r="E61" s="5" t="s">
        <v>196</v>
      </c>
      <c r="F61" s="5" t="s">
        <v>197</v>
      </c>
      <c r="G61" s="5">
        <v>90</v>
      </c>
      <c r="H61" s="7" t="str">
        <f>IF(COUNTIF($M$2:M61,M61)=1,
SUMIFS($G:$G,$M:$M,M61),
"")</f>
        <v/>
      </c>
      <c r="I61" s="7" t="e">
        <f>IF(E61&lt;&gt;#REF!,SUMIF(E:E,E61,X:X)," ")</f>
        <v>#REF!</v>
      </c>
      <c r="J61" s="8" t="e">
        <f>IF(E61&lt;&gt;#REF!,SUMIF(E:E,E61,Y:Y)," ")</f>
        <v>#REF!</v>
      </c>
      <c r="K61" s="5" t="s">
        <v>35</v>
      </c>
      <c r="L61" s="5" t="s">
        <v>198</v>
      </c>
      <c r="O61" s="9" t="str">
        <f>IF(Q61="","",COUNTIFS($M:$M,M61,$W:$W,"1"))</f>
        <v/>
      </c>
      <c r="P61" s="9" t="s">
        <v>28</v>
      </c>
      <c r="R61" s="5" t="s">
        <v>29</v>
      </c>
      <c r="T61" s="9" t="str">
        <f t="shared" ref="T61:T90" si="5">IF(OR(Q61="", M61="", N61=""), "", "LOT SAU KHOẢNG " &amp; TEXT(IF(Q61=5, N61+TIME(2,0,0), IF(OR(Q61=7, Q61=8), N61+TIME(2,48,0), IF(Q61=10, N61+TIME(3,48,0), N61))), "hh:mm"))</f>
        <v/>
      </c>
      <c r="V61" s="5" t="s">
        <v>37</v>
      </c>
      <c r="W61" s="9">
        <f>IF(COUNTIFS($M$2:$M61,M61,$E$2:$E61,E61)=1,1,0)</f>
        <v>0</v>
      </c>
      <c r="X61" s="9">
        <v>72.578131868131862</v>
      </c>
      <c r="Y61" s="10">
        <v>0.1714729141885038</v>
      </c>
      <c r="Z61" s="9" t="str">
        <f>IF(COUNTIF(K$2:K61,K61)=1,SUMIF(K:K,K61,H:H)/SUMIF(K:K,K61,W:W),"")</f>
        <v/>
      </c>
      <c r="AA61" s="9" t="str">
        <f>IF(COUNTIF($M$2:M61,M61)=1, SUMIF(M:M,M61,X:X), "")</f>
        <v/>
      </c>
      <c r="AB61" s="9" t="str">
        <f>IF(COUNTIF($M$2:M61,M61)=1, SUMIF(M:M,M61,Y:Y), "")</f>
        <v/>
      </c>
    </row>
    <row r="62" spans="1:28" x14ac:dyDescent="0.25">
      <c r="A62" s="5">
        <f ca="1">IF(B62="","",COUNTA($B$2:B62))</f>
        <v>61</v>
      </c>
      <c r="B62" s="6">
        <f t="shared" ca="1" si="4"/>
        <v>46191</v>
      </c>
      <c r="C62" s="5" t="s">
        <v>199</v>
      </c>
      <c r="D62" s="5" t="s">
        <v>200</v>
      </c>
      <c r="E62" s="5" t="s">
        <v>196</v>
      </c>
      <c r="F62" s="5" t="s">
        <v>197</v>
      </c>
      <c r="G62" s="5">
        <v>20</v>
      </c>
      <c r="H62" s="7" t="str">
        <f>IF(COUNTIF($M$2:M62,M62)=1,
SUMIFS($G:$G,$M:$M,M62),
"")</f>
        <v/>
      </c>
      <c r="I62" s="7" t="str">
        <f>IF(E62&lt;&gt;E61,SUMIF(E:E,E62,X:X)," ")</f>
        <v xml:space="preserve"> </v>
      </c>
      <c r="J62" s="8" t="str">
        <f>IF(E62&lt;&gt;E61,SUMIF(E:E,E62,Y:Y)," ")</f>
        <v xml:space="preserve"> </v>
      </c>
      <c r="K62" s="5" t="s">
        <v>35</v>
      </c>
      <c r="L62" s="5" t="s">
        <v>198</v>
      </c>
      <c r="O62" s="9" t="str">
        <f>IF(Q62="","",COUNTIFS($M:$M,M62,$W:$W,"1"))</f>
        <v/>
      </c>
      <c r="P62" s="9" t="s">
        <v>28</v>
      </c>
      <c r="R62" s="5" t="s">
        <v>29</v>
      </c>
      <c r="T62" s="9" t="str">
        <f t="shared" si="5"/>
        <v/>
      </c>
      <c r="V62" s="5" t="s">
        <v>37</v>
      </c>
      <c r="W62" s="9">
        <f>IF(COUNTIFS($M$2:$M62,M62,$E$2:$E62,E62)=1,1,0)</f>
        <v>0</v>
      </c>
      <c r="X62" s="9">
        <v>2.4</v>
      </c>
      <c r="Y62" s="10">
        <v>1.6E-2</v>
      </c>
      <c r="Z62" s="9" t="str">
        <f>IF(COUNTIF(K$2:K62,K62)=1,SUMIF(K:K,K62,H:H)/SUMIF(K:K,K62,W:W),"")</f>
        <v/>
      </c>
      <c r="AA62" s="9" t="str">
        <f>IF(COUNTIF($M$2:M62,M62)=1, SUMIF(M:M,M62,X:X), "")</f>
        <v/>
      </c>
      <c r="AB62" s="9" t="str">
        <f>IF(COUNTIF($M$2:M62,M62)=1, SUMIF(M:M,M62,Y:Y), "")</f>
        <v/>
      </c>
    </row>
    <row r="63" spans="1:28" x14ac:dyDescent="0.25">
      <c r="A63" s="5">
        <f ca="1">IF(B63="","",COUNTA($B$2:B63))</f>
        <v>62</v>
      </c>
      <c r="B63" s="6">
        <f t="shared" ca="1" si="4"/>
        <v>46191</v>
      </c>
      <c r="C63" s="5" t="s">
        <v>201</v>
      </c>
      <c r="D63" s="5" t="s">
        <v>202</v>
      </c>
      <c r="E63" s="5" t="s">
        <v>196</v>
      </c>
      <c r="F63" s="5" t="s">
        <v>197</v>
      </c>
      <c r="G63" s="5">
        <v>80</v>
      </c>
      <c r="H63" s="7" t="str">
        <f>IF(COUNTIF($M$2:M63,M63)=1,
SUMIFS($G:$G,$M:$M,M63),
"")</f>
        <v/>
      </c>
      <c r="I63" s="7" t="str">
        <f>IF(E63&lt;&gt;E62,SUMIF(E:E,E63,X:X)," ")</f>
        <v xml:space="preserve"> </v>
      </c>
      <c r="J63" s="8" t="str">
        <f>IF(E63&lt;&gt;E62,SUMIF(E:E,E63,Y:Y)," ")</f>
        <v xml:space="preserve"> </v>
      </c>
      <c r="K63" s="5" t="s">
        <v>35</v>
      </c>
      <c r="L63" s="5" t="s">
        <v>198</v>
      </c>
      <c r="O63" s="9" t="str">
        <f>IF(Q63="","",COUNTIFS($M:$M,M63,$W:$W,"1"))</f>
        <v/>
      </c>
      <c r="P63" s="9" t="s">
        <v>28</v>
      </c>
      <c r="R63" s="5" t="s">
        <v>29</v>
      </c>
      <c r="T63" s="9" t="str">
        <f t="shared" si="5"/>
        <v/>
      </c>
      <c r="V63" s="5" t="s">
        <v>37</v>
      </c>
      <c r="W63" s="9">
        <f>IF(COUNTIFS($M$2:$M63,M63,$E$2:$E63,E63)=1,1,0)</f>
        <v>0</v>
      </c>
      <c r="X63" s="9">
        <v>78.040000000000006</v>
      </c>
      <c r="Y63" s="10">
        <v>0.21100638461538462</v>
      </c>
      <c r="Z63" s="9" t="str">
        <f>IF(COUNTIF(K$2:K63,K63)=1,SUMIF(K:K,K63,H:H)/SUMIF(K:K,K63,W:W),"")</f>
        <v/>
      </c>
      <c r="AA63" s="9" t="str">
        <f>IF(COUNTIF($M$2:M63,M63)=1, SUMIF(M:M,M63,X:X), "")</f>
        <v/>
      </c>
      <c r="AB63" s="9" t="str">
        <f>IF(COUNTIF($M$2:M63,M63)=1, SUMIF(M:M,M63,Y:Y), "")</f>
        <v/>
      </c>
    </row>
    <row r="64" spans="1:28" x14ac:dyDescent="0.25">
      <c r="A64" s="5">
        <f ca="1">IF(B64="","",COUNTA($B$2:B64))</f>
        <v>63</v>
      </c>
      <c r="B64" s="6">
        <f t="shared" ca="1" si="4"/>
        <v>46191</v>
      </c>
      <c r="C64" s="5" t="s">
        <v>203</v>
      </c>
      <c r="D64" s="5" t="s">
        <v>204</v>
      </c>
      <c r="E64" s="5" t="s">
        <v>205</v>
      </c>
      <c r="F64" s="5" t="s">
        <v>206</v>
      </c>
      <c r="G64" s="5">
        <v>131</v>
      </c>
      <c r="H64" s="7" t="str">
        <f>IF(COUNTIF($M$2:M64,M64)=1,
SUMIFS($G:$G,$M:$M,M64),
"")</f>
        <v/>
      </c>
      <c r="I64" s="7">
        <f>IF(E64&lt;&gt;E63,SUMIF(E:E,E64,X:X)," ")</f>
        <v>142.53294285714287</v>
      </c>
      <c r="J64" s="8">
        <f>IF(E64&lt;&gt;E63,SUMIF(E:E,E64,Y:Y)," ")</f>
        <v>0.47722453527472525</v>
      </c>
      <c r="K64" s="5" t="s">
        <v>35</v>
      </c>
      <c r="L64" s="5" t="s">
        <v>198</v>
      </c>
      <c r="O64" s="9" t="str">
        <f>IF(Q64="","",COUNTIFS($M:$M,M64,$W:$W,"1"))</f>
        <v/>
      </c>
      <c r="P64" s="9" t="s">
        <v>28</v>
      </c>
      <c r="R64" s="5" t="s">
        <v>29</v>
      </c>
      <c r="T64" s="9" t="str">
        <f t="shared" si="5"/>
        <v/>
      </c>
      <c r="V64" s="5" t="s">
        <v>37</v>
      </c>
      <c r="W64" s="9">
        <f>IF(COUNTIFS($M$2:$M64,M64,$E$2:$E64,E64)=1,1,0)</f>
        <v>0</v>
      </c>
      <c r="X64" s="9">
        <v>103.16654285714286</v>
      </c>
      <c r="Y64" s="10">
        <v>0.26990193527472528</v>
      </c>
      <c r="Z64" s="9" t="str">
        <f>IF(COUNTIF(K$2:K64,K64)=1,SUMIF(K:K,K64,H:H)/SUMIF(K:K,K64,W:W),"")</f>
        <v/>
      </c>
      <c r="AA64" s="9" t="str">
        <f>IF(COUNTIF($M$2:M64,M64)=1, SUMIF(M:M,M64,X:X), "")</f>
        <v/>
      </c>
      <c r="AB64" s="9" t="str">
        <f>IF(COUNTIF($M$2:M64,M64)=1, SUMIF(M:M,M64,Y:Y), "")</f>
        <v/>
      </c>
    </row>
    <row r="65" spans="1:28" x14ac:dyDescent="0.25">
      <c r="A65" s="5">
        <f ca="1">IF(B65="","",COUNTA($B$2:B65))</f>
        <v>64</v>
      </c>
      <c r="B65" s="6">
        <f t="shared" ca="1" si="4"/>
        <v>46191</v>
      </c>
      <c r="C65" s="5" t="s">
        <v>207</v>
      </c>
      <c r="D65" s="5" t="s">
        <v>208</v>
      </c>
      <c r="E65" s="5" t="s">
        <v>205</v>
      </c>
      <c r="F65" s="5" t="s">
        <v>206</v>
      </c>
      <c r="G65" s="5">
        <v>168</v>
      </c>
      <c r="H65" s="7" t="str">
        <f>IF(COUNTIF($M$2:M65,M65)=1,
SUMIFS($G:$G,$M:$M,M65),
"")</f>
        <v/>
      </c>
      <c r="I65" s="7" t="str">
        <f>IF(E65&lt;&gt;E64,SUMIF(E:E,E65,X:X)," ")</f>
        <v xml:space="preserve"> </v>
      </c>
      <c r="J65" s="8" t="str">
        <f>IF(E65&lt;&gt;E64,SUMIF(E:E,E65,Y:Y)," ")</f>
        <v xml:space="preserve"> </v>
      </c>
      <c r="K65" s="5" t="s">
        <v>35</v>
      </c>
      <c r="L65" s="5" t="s">
        <v>198</v>
      </c>
      <c r="O65" s="9" t="str">
        <f>IF(Q65="","",COUNTIFS($M:$M,M65,$W:$W,"1"))</f>
        <v/>
      </c>
      <c r="P65" s="9" t="s">
        <v>28</v>
      </c>
      <c r="R65" s="5" t="s">
        <v>29</v>
      </c>
      <c r="T65" s="9" t="str">
        <f t="shared" si="5"/>
        <v/>
      </c>
      <c r="V65" s="5" t="s">
        <v>37</v>
      </c>
      <c r="W65" s="9">
        <f>IF(COUNTIFS($M$2:$M65,M65,$E$2:$E65,E65)=1,1,0)</f>
        <v>0</v>
      </c>
      <c r="X65" s="9">
        <v>31.726399999999998</v>
      </c>
      <c r="Y65" s="10">
        <v>0.16083059999999999</v>
      </c>
      <c r="Z65" s="9" t="str">
        <f>IF(COUNTIF(K$2:K65,K65)=1,SUMIF(K:K,K65,H:H)/SUMIF(K:K,K65,W:W),"")</f>
        <v/>
      </c>
      <c r="AA65" s="9" t="str">
        <f>IF(COUNTIF($M$2:M65,M65)=1, SUMIF(M:M,M65,X:X), "")</f>
        <v/>
      </c>
      <c r="AB65" s="9" t="str">
        <f>IF(COUNTIF($M$2:M65,M65)=1, SUMIF(M:M,M65,Y:Y), "")</f>
        <v/>
      </c>
    </row>
    <row r="66" spans="1:28" x14ac:dyDescent="0.25">
      <c r="A66" s="5">
        <f ca="1">IF(B66="","",COUNTA($B$2:B66))</f>
        <v>65</v>
      </c>
      <c r="B66" s="6">
        <f t="shared" ca="1" si="4"/>
        <v>46191</v>
      </c>
      <c r="C66" s="5" t="s">
        <v>209</v>
      </c>
      <c r="D66" s="5" t="s">
        <v>210</v>
      </c>
      <c r="E66" s="5" t="s">
        <v>205</v>
      </c>
      <c r="F66" s="5" t="s">
        <v>206</v>
      </c>
      <c r="G66" s="5">
        <v>80</v>
      </c>
      <c r="H66" s="7" t="str">
        <f>IF(COUNTIF($M$2:M66,M66)=1,
SUMIFS($G:$G,$M:$M,M66),
"")</f>
        <v/>
      </c>
      <c r="I66" s="7" t="str">
        <f>IF(E66&lt;&gt;E65,SUMIF(E:E,E66,X:X)," ")</f>
        <v xml:space="preserve"> </v>
      </c>
      <c r="J66" s="8" t="str">
        <f>IF(E66&lt;&gt;E65,SUMIF(E:E,E66,Y:Y)," ")</f>
        <v xml:space="preserve"> </v>
      </c>
      <c r="K66" s="5" t="s">
        <v>35</v>
      </c>
      <c r="L66" s="5" t="s">
        <v>198</v>
      </c>
      <c r="O66" s="9" t="str">
        <f>IF(Q66="","",COUNTIFS($M:$M,M66,$W:$W,"1"))</f>
        <v/>
      </c>
      <c r="P66" s="9" t="s">
        <v>28</v>
      </c>
      <c r="R66" s="5" t="s">
        <v>29</v>
      </c>
      <c r="T66" s="9" t="str">
        <f t="shared" si="5"/>
        <v/>
      </c>
      <c r="V66" s="5" t="s">
        <v>37</v>
      </c>
      <c r="W66" s="9">
        <f>IF(COUNTIFS($M$2:$M66,M66,$E$2:$E66,E66)=1,1,0)</f>
        <v>0</v>
      </c>
      <c r="X66" s="9">
        <v>7.6400000000000006</v>
      </c>
      <c r="Y66" s="10">
        <v>4.6491999999999999E-2</v>
      </c>
      <c r="Z66" s="9" t="str">
        <f>IF(COUNTIF(K$2:K66,K66)=1,SUMIF(K:K,K66,H:H)/SUMIF(K:K,K66,W:W),"")</f>
        <v/>
      </c>
      <c r="AA66" s="9" t="str">
        <f>IF(COUNTIF($M$2:M66,M66)=1, SUMIF(M:M,M66,X:X), "")</f>
        <v/>
      </c>
      <c r="AB66" s="9" t="str">
        <f>IF(COUNTIF($M$2:M66,M66)=1, SUMIF(M:M,M66,Y:Y), "")</f>
        <v/>
      </c>
    </row>
    <row r="67" spans="1:28" x14ac:dyDescent="0.25">
      <c r="A67" s="5">
        <f ca="1">IF(B67="","",COUNTA($B$2:B67))</f>
        <v>66</v>
      </c>
      <c r="B67" s="6">
        <f t="shared" ca="1" si="4"/>
        <v>46191</v>
      </c>
      <c r="C67" s="5" t="s">
        <v>211</v>
      </c>
      <c r="D67" s="5" t="s">
        <v>212</v>
      </c>
      <c r="E67" s="5" t="s">
        <v>213</v>
      </c>
      <c r="F67" s="5" t="s">
        <v>214</v>
      </c>
      <c r="G67" s="5">
        <v>110</v>
      </c>
      <c r="H67" s="7" t="str">
        <f>IF(COUNTIF($M$2:M67,M67)=1,
SUMIFS($G:$G,$M:$M,M67),
"")</f>
        <v/>
      </c>
      <c r="I67" s="7">
        <f>IF(E67&lt;&gt;E66,SUMIF(E:E,E67,X:X)," ")</f>
        <v>425.62506666666673</v>
      </c>
      <c r="J67" s="8">
        <f>IF(E67&lt;&gt;E66,SUMIF(E:E,E67,Y:Y)," ")</f>
        <v>1.2844196823677505</v>
      </c>
      <c r="K67" s="5" t="s">
        <v>35</v>
      </c>
      <c r="L67" s="5" t="s">
        <v>198</v>
      </c>
      <c r="O67" s="9" t="str">
        <f>IF(Q67="","",COUNTIFS($M:$M,M67,$W:$W,"1"))</f>
        <v/>
      </c>
      <c r="P67" s="9" t="s">
        <v>28</v>
      </c>
      <c r="R67" s="5" t="s">
        <v>29</v>
      </c>
      <c r="T67" s="9" t="str">
        <f t="shared" si="5"/>
        <v/>
      </c>
      <c r="V67" s="5" t="s">
        <v>37</v>
      </c>
      <c r="W67" s="9">
        <f>IF(COUNTIFS($M$2:$M67,M67,$E$2:$E67,E67)=1,1,0)</f>
        <v>0</v>
      </c>
      <c r="X67" s="9">
        <v>102.03377142857141</v>
      </c>
      <c r="Y67" s="10">
        <v>0.2426094607633551</v>
      </c>
      <c r="Z67" s="9" t="str">
        <f>IF(COUNTIF(K$2:K67,K67)=1,SUMIF(K:K,K67,H:H)/SUMIF(K:K,K67,W:W),"")</f>
        <v/>
      </c>
      <c r="AA67" s="9" t="str">
        <f>IF(COUNTIF($M$2:M67,M67)=1, SUMIF(M:M,M67,X:X), "")</f>
        <v/>
      </c>
      <c r="AB67" s="9" t="str">
        <f>IF(COUNTIF($M$2:M67,M67)=1, SUMIF(M:M,M67,Y:Y), "")</f>
        <v/>
      </c>
    </row>
    <row r="68" spans="1:28" x14ac:dyDescent="0.25">
      <c r="A68" s="5">
        <f ca="1">IF(B68="","",COUNTA($B$2:B68))</f>
        <v>67</v>
      </c>
      <c r="B68" s="6">
        <f t="shared" ca="1" si="4"/>
        <v>46191</v>
      </c>
      <c r="C68" s="5" t="s">
        <v>215</v>
      </c>
      <c r="D68" s="5" t="s">
        <v>216</v>
      </c>
      <c r="E68" s="5" t="s">
        <v>213</v>
      </c>
      <c r="F68" s="5" t="s">
        <v>214</v>
      </c>
      <c r="G68" s="5">
        <v>94</v>
      </c>
      <c r="H68" s="7" t="str">
        <f>IF(COUNTIF($M$2:M68,M68)=1,
SUMIFS($G:$G,$M:$M,M68),
"")</f>
        <v/>
      </c>
      <c r="I68" s="7" t="str">
        <f>IF(E68&lt;&gt;E67,SUMIF(E:E,E68,X:X)," ")</f>
        <v xml:space="preserve"> </v>
      </c>
      <c r="J68" s="8" t="str">
        <f>IF(E68&lt;&gt;E67,SUMIF(E:E,E68,Y:Y)," ")</f>
        <v xml:space="preserve"> </v>
      </c>
      <c r="K68" s="5" t="s">
        <v>35</v>
      </c>
      <c r="L68" s="5" t="s">
        <v>198</v>
      </c>
      <c r="O68" s="9" t="str">
        <f>IF(Q68="","",COUNTIFS($M:$M,M68,$W:$W,"1"))</f>
        <v/>
      </c>
      <c r="P68" s="9" t="s">
        <v>28</v>
      </c>
      <c r="R68" s="5" t="s">
        <v>29</v>
      </c>
      <c r="T68" s="9" t="str">
        <f t="shared" si="5"/>
        <v/>
      </c>
      <c r="V68" s="5" t="s">
        <v>37</v>
      </c>
      <c r="W68" s="9">
        <f>IF(COUNTIFS($M$2:$M68,M68,$E$2:$E68,E68)=1,1,0)</f>
        <v>0</v>
      </c>
      <c r="X68" s="9">
        <v>78.774495238095241</v>
      </c>
      <c r="Y68" s="10">
        <v>0.19109394345054945</v>
      </c>
      <c r="Z68" s="9" t="str">
        <f>IF(COUNTIF(K$2:K68,K68)=1,SUMIF(K:K,K68,H:H)/SUMIF(K:K,K68,W:W),"")</f>
        <v/>
      </c>
      <c r="AA68" s="9" t="str">
        <f>IF(COUNTIF($M$2:M68,M68)=1, SUMIF(M:M,M68,X:X), "")</f>
        <v/>
      </c>
      <c r="AB68" s="9" t="str">
        <f>IF(COUNTIF($M$2:M68,M68)=1, SUMIF(M:M,M68,Y:Y), "")</f>
        <v/>
      </c>
    </row>
    <row r="69" spans="1:28" x14ac:dyDescent="0.25">
      <c r="A69" s="5">
        <f ca="1">IF(B69="","",COUNTA($B$2:B69))</f>
        <v>68</v>
      </c>
      <c r="B69" s="6">
        <f t="shared" ca="1" si="4"/>
        <v>46191</v>
      </c>
      <c r="C69" s="5" t="s">
        <v>217</v>
      </c>
      <c r="D69" s="5" t="s">
        <v>218</v>
      </c>
      <c r="E69" s="5" t="s">
        <v>213</v>
      </c>
      <c r="F69" s="5" t="s">
        <v>214</v>
      </c>
      <c r="G69" s="5">
        <v>102</v>
      </c>
      <c r="H69" s="7" t="str">
        <f>IF(COUNTIF($M$2:M69,M69)=1,
SUMIFS($G:$G,$M:$M,M69),
"")</f>
        <v/>
      </c>
      <c r="I69" s="7" t="str">
        <f>IF(E69&lt;&gt;E68,SUMIF(E:E,E69,X:X)," ")</f>
        <v xml:space="preserve"> </v>
      </c>
      <c r="J69" s="8" t="str">
        <f>IF(E69&lt;&gt;E68,SUMIF(E:E,E69,Y:Y)," ")</f>
        <v xml:space="preserve"> </v>
      </c>
      <c r="K69" s="5" t="s">
        <v>35</v>
      </c>
      <c r="L69" s="5" t="s">
        <v>198</v>
      </c>
      <c r="O69" s="9" t="str">
        <f>IF(Q69="","",COUNTIFS($M:$M,M69,$W:$W,"1"))</f>
        <v/>
      </c>
      <c r="P69" s="9" t="s">
        <v>28</v>
      </c>
      <c r="R69" s="5" t="s">
        <v>29</v>
      </c>
      <c r="T69" s="9" t="str">
        <f t="shared" si="5"/>
        <v/>
      </c>
      <c r="V69" s="5" t="s">
        <v>37</v>
      </c>
      <c r="W69" s="9">
        <f>IF(COUNTIFS($M$2:$M69,M69,$E$2:$E69,E69)=1,1,0)</f>
        <v>0</v>
      </c>
      <c r="X69" s="9">
        <v>20</v>
      </c>
      <c r="Y69" s="10">
        <v>7.4307692307692311E-2</v>
      </c>
      <c r="Z69" s="9" t="str">
        <f>IF(COUNTIF(K$2:K69,K69)=1,SUMIF(K:K,K69,H:H)/SUMIF(K:K,K69,W:W),"")</f>
        <v/>
      </c>
      <c r="AA69" s="9" t="str">
        <f>IF(COUNTIF($M$2:M69,M69)=1, SUMIF(M:M,M69,X:X), "")</f>
        <v/>
      </c>
      <c r="AB69" s="9" t="str">
        <f>IF(COUNTIF($M$2:M69,M69)=1, SUMIF(M:M,M69,Y:Y), "")</f>
        <v/>
      </c>
    </row>
    <row r="70" spans="1:28" x14ac:dyDescent="0.25">
      <c r="A70" s="5">
        <f ca="1">IF(B70="","",COUNTA($B$2:B70))</f>
        <v>69</v>
      </c>
      <c r="B70" s="6">
        <f t="shared" ca="1" si="4"/>
        <v>46191</v>
      </c>
      <c r="C70" s="5" t="s">
        <v>219</v>
      </c>
      <c r="D70" s="5" t="s">
        <v>220</v>
      </c>
      <c r="E70" s="5" t="s">
        <v>213</v>
      </c>
      <c r="F70" s="5" t="s">
        <v>214</v>
      </c>
      <c r="G70" s="5">
        <v>178</v>
      </c>
      <c r="H70" s="7" t="str">
        <f>IF(COUNTIF($M$2:M70,M70)=1,
SUMIFS($G:$G,$M:$M,M70),
"")</f>
        <v/>
      </c>
      <c r="I70" s="7" t="str">
        <f>IF(E70&lt;&gt;E69,SUMIF(E:E,E70,X:X)," ")</f>
        <v xml:space="preserve"> </v>
      </c>
      <c r="J70" s="8" t="str">
        <f>IF(E70&lt;&gt;E69,SUMIF(E:E,E70,Y:Y)," ")</f>
        <v xml:space="preserve"> </v>
      </c>
      <c r="K70" s="5" t="s">
        <v>35</v>
      </c>
      <c r="L70" s="5" t="s">
        <v>198</v>
      </c>
      <c r="O70" s="9" t="str">
        <f>IF(Q70="","",COUNTIFS($M:$M,M70,$W:$W,"1"))</f>
        <v/>
      </c>
      <c r="P70" s="9" t="s">
        <v>28</v>
      </c>
      <c r="R70" s="5" t="s">
        <v>29</v>
      </c>
      <c r="T70" s="9" t="str">
        <f t="shared" si="5"/>
        <v/>
      </c>
      <c r="V70" s="5" t="s">
        <v>37</v>
      </c>
      <c r="W70" s="9">
        <f>IF(COUNTIFS($M$2:$M70,M70,$E$2:$E70,E70)=1,1,0)</f>
        <v>0</v>
      </c>
      <c r="X70" s="9">
        <v>165.8528</v>
      </c>
      <c r="Y70" s="10">
        <v>0.65050461538461524</v>
      </c>
      <c r="Z70" s="9" t="str">
        <f>IF(COUNTIF(K$2:K70,K70)=1,SUMIF(K:K,K70,H:H)/SUMIF(K:K,K70,W:W),"")</f>
        <v/>
      </c>
      <c r="AA70" s="9" t="str">
        <f>IF(COUNTIF($M$2:M70,M70)=1, SUMIF(M:M,M70,X:X), "")</f>
        <v/>
      </c>
      <c r="AB70" s="9" t="str">
        <f>IF(COUNTIF($M$2:M70,M70)=1, SUMIF(M:M,M70,Y:Y), "")</f>
        <v/>
      </c>
    </row>
    <row r="71" spans="1:28" x14ac:dyDescent="0.25">
      <c r="A71" s="5">
        <f ca="1">IF(B71="","",COUNTA($B$2:B71))</f>
        <v>70</v>
      </c>
      <c r="B71" s="6">
        <f t="shared" ca="1" si="4"/>
        <v>46191</v>
      </c>
      <c r="C71" s="5" t="s">
        <v>221</v>
      </c>
      <c r="D71" s="5" t="s">
        <v>222</v>
      </c>
      <c r="E71" s="5" t="s">
        <v>213</v>
      </c>
      <c r="F71" s="5" t="s">
        <v>214</v>
      </c>
      <c r="G71" s="5">
        <v>64</v>
      </c>
      <c r="H71" s="7" t="str">
        <f>IF(COUNTIF($M$2:M71,M71)=1,
SUMIFS($G:$G,$M:$M,M71),
"")</f>
        <v/>
      </c>
      <c r="I71" s="7" t="str">
        <f>IF(E71&lt;&gt;E70,SUMIF(E:E,E71,X:X)," ")</f>
        <v xml:space="preserve"> </v>
      </c>
      <c r="J71" s="8" t="str">
        <f>IF(E71&lt;&gt;E70,SUMIF(E:E,E71,Y:Y)," ")</f>
        <v xml:space="preserve"> </v>
      </c>
      <c r="K71" s="5" t="s">
        <v>35</v>
      </c>
      <c r="L71" s="5" t="s">
        <v>198</v>
      </c>
      <c r="O71" s="9" t="str">
        <f>IF(Q71="","",COUNTIFS($M:$M,M71,$W:$W,"1"))</f>
        <v/>
      </c>
      <c r="P71" s="9" t="s">
        <v>28</v>
      </c>
      <c r="R71" s="5" t="s">
        <v>29</v>
      </c>
      <c r="T71" s="9" t="str">
        <f t="shared" si="5"/>
        <v/>
      </c>
      <c r="V71" s="5" t="s">
        <v>37</v>
      </c>
      <c r="W71" s="9">
        <f>IF(COUNTIFS($M$2:$M71,M71,$E$2:$E71,E71)=1,1,0)</f>
        <v>0</v>
      </c>
      <c r="X71" s="9">
        <v>20.420000000000002</v>
      </c>
      <c r="Y71" s="10">
        <v>6.4516846153846147E-2</v>
      </c>
      <c r="Z71" s="9" t="str">
        <f>IF(COUNTIF(K$2:K71,K71)=1,SUMIF(K:K,K71,H:H)/SUMIF(K:K,K71,W:W),"")</f>
        <v/>
      </c>
      <c r="AA71" s="9" t="str">
        <f>IF(COUNTIF($M$2:M71,M71)=1, SUMIF(M:M,M71,X:X), "")</f>
        <v/>
      </c>
      <c r="AB71" s="9" t="str">
        <f>IF(COUNTIF($M$2:M71,M71)=1, SUMIF(M:M,M71,Y:Y), "")</f>
        <v/>
      </c>
    </row>
    <row r="72" spans="1:28" x14ac:dyDescent="0.25">
      <c r="A72" s="5">
        <f ca="1">IF(B72="","",COUNTA($B$2:B72))</f>
        <v>71</v>
      </c>
      <c r="B72" s="6">
        <f t="shared" ca="1" si="4"/>
        <v>46191</v>
      </c>
      <c r="C72" s="5" t="s">
        <v>223</v>
      </c>
      <c r="D72" s="5" t="s">
        <v>224</v>
      </c>
      <c r="E72" s="5" t="s">
        <v>213</v>
      </c>
      <c r="F72" s="5" t="s">
        <v>214</v>
      </c>
      <c r="G72" s="5">
        <v>72</v>
      </c>
      <c r="H72" s="7" t="str">
        <f>IF(COUNTIF($M$2:M72,M72)=1,
SUMIFS($G:$G,$M:$M,M72),
"")</f>
        <v/>
      </c>
      <c r="I72" s="7" t="str">
        <f>IF(E72&lt;&gt;E71,SUMIF(E:E,E72,X:X)," ")</f>
        <v xml:space="preserve"> </v>
      </c>
      <c r="J72" s="8" t="str">
        <f>IF(E72&lt;&gt;E71,SUMIF(E:E,E72,Y:Y)," ")</f>
        <v xml:space="preserve"> </v>
      </c>
      <c r="K72" s="5" t="s">
        <v>35</v>
      </c>
      <c r="L72" s="5" t="s">
        <v>198</v>
      </c>
      <c r="O72" s="9" t="str">
        <f>IF(Q72="","",COUNTIFS($M:$M,M72,$W:$W,"1"))</f>
        <v/>
      </c>
      <c r="P72" s="9" t="s">
        <v>28</v>
      </c>
      <c r="R72" s="5" t="s">
        <v>29</v>
      </c>
      <c r="T72" s="9" t="str">
        <f t="shared" si="5"/>
        <v/>
      </c>
      <c r="V72" s="5" t="s">
        <v>37</v>
      </c>
      <c r="W72" s="9">
        <f>IF(COUNTIFS($M$2:$M72,M72,$E$2:$E72,E72)=1,1,0)</f>
        <v>0</v>
      </c>
      <c r="X72" s="9">
        <v>38.544000000000011</v>
      </c>
      <c r="Y72" s="10">
        <v>6.138712430769231E-2</v>
      </c>
      <c r="Z72" s="9" t="str">
        <f>IF(COUNTIF(K$2:K72,K72)=1,SUMIF(K:K,K72,H:H)/SUMIF(K:K,K72,W:W),"")</f>
        <v/>
      </c>
      <c r="AA72" s="9" t="str">
        <f>IF(COUNTIF($M$2:M72,M72)=1, SUMIF(M:M,M72,X:X), "")</f>
        <v/>
      </c>
      <c r="AB72" s="9" t="str">
        <f>IF(COUNTIF($M$2:M72,M72)=1, SUMIF(M:M,M72,Y:Y), "")</f>
        <v/>
      </c>
    </row>
    <row r="73" spans="1:28" x14ac:dyDescent="0.25">
      <c r="A73" s="5">
        <f ca="1">IF(B73="","",COUNTA($B$2:B73))</f>
        <v>72</v>
      </c>
      <c r="B73" s="6">
        <f t="shared" ca="1" si="4"/>
        <v>46191</v>
      </c>
      <c r="C73" s="5" t="s">
        <v>225</v>
      </c>
      <c r="D73" s="5" t="s">
        <v>226</v>
      </c>
      <c r="E73" s="5" t="s">
        <v>227</v>
      </c>
      <c r="F73" s="5" t="s">
        <v>228</v>
      </c>
      <c r="G73" s="5">
        <v>146</v>
      </c>
      <c r="H73" s="7" t="str">
        <f>IF(COUNTIF($M$2:M73,M73)=1,
SUMIFS($G:$G,$M:$M,M73),
"")</f>
        <v/>
      </c>
      <c r="I73" s="7">
        <f>IF(E73&lt;&gt;E72,SUMIF(E:E,E73,X:X)," ")</f>
        <v>106.81047142857145</v>
      </c>
      <c r="J73" s="8">
        <f>IF(E73&lt;&gt;E72,SUMIF(E:E,E73,Y:Y)," ")</f>
        <v>0.45858301648351651</v>
      </c>
      <c r="K73" s="5" t="s">
        <v>35</v>
      </c>
      <c r="L73" s="5" t="s">
        <v>198</v>
      </c>
      <c r="O73" s="9" t="str">
        <f>IF(Q73="","",COUNTIFS($M:$M,M73,$W:$W,"1"))</f>
        <v/>
      </c>
      <c r="P73" s="9" t="s">
        <v>28</v>
      </c>
      <c r="R73" s="5" t="s">
        <v>29</v>
      </c>
      <c r="T73" s="9" t="str">
        <f t="shared" si="5"/>
        <v/>
      </c>
      <c r="V73" s="5" t="s">
        <v>37</v>
      </c>
      <c r="W73" s="9">
        <f>IF(COUNTIFS($M$2:$M73,M73,$E$2:$E73,E73)=1,1,0)</f>
        <v>0</v>
      </c>
      <c r="X73" s="9">
        <v>78.422471428571441</v>
      </c>
      <c r="Y73" s="10">
        <v>0.32284610109890116</v>
      </c>
      <c r="Z73" s="9" t="str">
        <f>IF(COUNTIF(K$2:K73,K73)=1,SUMIF(K:K,K73,H:H)/SUMIF(K:K,K73,W:W),"")</f>
        <v/>
      </c>
      <c r="AA73" s="9" t="str">
        <f>IF(COUNTIF($M$2:M73,M73)=1, SUMIF(M:M,M73,X:X), "")</f>
        <v/>
      </c>
      <c r="AB73" s="9" t="str">
        <f>IF(COUNTIF($M$2:M73,M73)=1, SUMIF(M:M,M73,Y:Y), "")</f>
        <v/>
      </c>
    </row>
    <row r="74" spans="1:28" x14ac:dyDescent="0.25">
      <c r="A74" s="5">
        <f ca="1">IF(B74="","",COUNTA($B$2:B74))</f>
        <v>73</v>
      </c>
      <c r="B74" s="6">
        <f t="shared" ca="1" si="4"/>
        <v>46191</v>
      </c>
      <c r="C74" s="5" t="s">
        <v>229</v>
      </c>
      <c r="D74" s="5" t="s">
        <v>230</v>
      </c>
      <c r="E74" s="5" t="s">
        <v>227</v>
      </c>
      <c r="F74" s="5" t="s">
        <v>228</v>
      </c>
      <c r="G74" s="5">
        <v>152</v>
      </c>
      <c r="H74" s="7" t="str">
        <f>IF(COUNTIF($M$2:M74,M74)=1,
SUMIFS($G:$G,$M:$M,M74),
"")</f>
        <v/>
      </c>
      <c r="I74" s="7" t="str">
        <f>IF(E74&lt;&gt;E73,SUMIF(E:E,E74,X:X)," ")</f>
        <v xml:space="preserve"> </v>
      </c>
      <c r="J74" s="8" t="str">
        <f>IF(E74&lt;&gt;E73,SUMIF(E:E,E74,Y:Y)," ")</f>
        <v xml:space="preserve"> </v>
      </c>
      <c r="K74" s="5" t="s">
        <v>35</v>
      </c>
      <c r="L74" s="5" t="s">
        <v>198</v>
      </c>
      <c r="O74" s="9" t="str">
        <f>IF(Q74="","",COUNTIFS($M:$M,M74,$W:$W,"1"))</f>
        <v/>
      </c>
      <c r="P74" s="9" t="s">
        <v>28</v>
      </c>
      <c r="R74" s="5" t="s">
        <v>29</v>
      </c>
      <c r="T74" s="9" t="str">
        <f t="shared" si="5"/>
        <v/>
      </c>
      <c r="V74" s="5" t="s">
        <v>37</v>
      </c>
      <c r="W74" s="9">
        <f>IF(COUNTIFS($M$2:$M74,M74,$E$2:$E74,E74)=1,1,0)</f>
        <v>0</v>
      </c>
      <c r="X74" s="9">
        <v>21.187999999999999</v>
      </c>
      <c r="Y74" s="10">
        <v>8.773691538461538E-2</v>
      </c>
      <c r="Z74" s="9" t="str">
        <f>IF(COUNTIF(K$2:K74,K74)=1,SUMIF(K:K,K74,H:H)/SUMIF(K:K,K74,W:W),"")</f>
        <v/>
      </c>
      <c r="AA74" s="9" t="str">
        <f>IF(COUNTIF($M$2:M74,M74)=1, SUMIF(M:M,M74,X:X), "")</f>
        <v/>
      </c>
      <c r="AB74" s="9" t="str">
        <f>IF(COUNTIF($M$2:M74,M74)=1, SUMIF(M:M,M74,Y:Y), "")</f>
        <v/>
      </c>
    </row>
    <row r="75" spans="1:28" x14ac:dyDescent="0.25">
      <c r="A75" s="5">
        <f ca="1">IF(B75="","",COUNTA($B$2:B75))</f>
        <v>74</v>
      </c>
      <c r="B75" s="6">
        <f t="shared" ca="1" si="4"/>
        <v>46191</v>
      </c>
      <c r="C75" s="5" t="s">
        <v>231</v>
      </c>
      <c r="D75" s="5" t="s">
        <v>232</v>
      </c>
      <c r="E75" s="5" t="s">
        <v>227</v>
      </c>
      <c r="F75" s="5" t="s">
        <v>228</v>
      </c>
      <c r="G75" s="5">
        <v>60</v>
      </c>
      <c r="H75" s="7" t="str">
        <f>IF(COUNTIF($M$2:M75,M75)=1,
SUMIFS($G:$G,$M:$M,M75),
"")</f>
        <v/>
      </c>
      <c r="I75" s="7" t="str">
        <f>IF(E75&lt;&gt;E74,SUMIF(E:E,E75,X:X)," ")</f>
        <v xml:space="preserve"> </v>
      </c>
      <c r="J75" s="8" t="str">
        <f>IF(E75&lt;&gt;E74,SUMIF(E:E,E75,Y:Y)," ")</f>
        <v xml:space="preserve"> </v>
      </c>
      <c r="K75" s="5" t="s">
        <v>35</v>
      </c>
      <c r="L75" s="5" t="s">
        <v>198</v>
      </c>
      <c r="O75" s="9" t="str">
        <f>IF(Q75="","",COUNTIFS($M:$M,M75,$W:$W,"1"))</f>
        <v/>
      </c>
      <c r="P75" s="9" t="s">
        <v>28</v>
      </c>
      <c r="R75" s="5" t="s">
        <v>29</v>
      </c>
      <c r="T75" s="9" t="str">
        <f t="shared" si="5"/>
        <v/>
      </c>
      <c r="V75" s="5" t="s">
        <v>37</v>
      </c>
      <c r="W75" s="9">
        <f>IF(COUNTIFS($M$2:$M75,M75,$E$2:$E75,E75)=1,1,0)</f>
        <v>0</v>
      </c>
      <c r="X75" s="9">
        <v>7.1999999999999993</v>
      </c>
      <c r="Y75" s="10">
        <v>4.8000000000000001E-2</v>
      </c>
      <c r="Z75" s="9" t="str">
        <f>IF(COUNTIF(K$2:K75,K75)=1,SUMIF(K:K,K75,H:H)/SUMIF(K:K,K75,W:W),"")</f>
        <v/>
      </c>
      <c r="AA75" s="9" t="str">
        <f>IF(COUNTIF($M$2:M75,M75)=1, SUMIF(M:M,M75,X:X), "")</f>
        <v/>
      </c>
      <c r="AB75" s="9" t="str">
        <f>IF(COUNTIF($M$2:M75,M75)=1, SUMIF(M:M,M75,Y:Y), "")</f>
        <v/>
      </c>
    </row>
    <row r="76" spans="1:28" x14ac:dyDescent="0.25">
      <c r="A76" s="5">
        <f ca="1">IF(B76="","",COUNTA($B$2:B76))</f>
        <v>75</v>
      </c>
      <c r="B76" s="6">
        <f t="shared" ca="1" si="4"/>
        <v>46191</v>
      </c>
      <c r="C76" s="5" t="s">
        <v>233</v>
      </c>
      <c r="D76" s="5" t="s">
        <v>234</v>
      </c>
      <c r="E76" s="5" t="s">
        <v>235</v>
      </c>
      <c r="F76" s="5" t="s">
        <v>236</v>
      </c>
      <c r="G76" s="5">
        <v>131</v>
      </c>
      <c r="H76" s="7" t="str">
        <f>IF(COUNTIF($M$2:M76,M76)=1,
SUMIFS($G:$G,$M:$M,M76),
"")</f>
        <v/>
      </c>
      <c r="I76" s="7">
        <f>IF(E76&lt;&gt;E75,SUMIF(E:E,E76,X:X)," ")</f>
        <v>157.28870329670332</v>
      </c>
      <c r="J76" s="8">
        <f>IF(E76&lt;&gt;E75,SUMIF(E:E,E76,Y:Y)," ")</f>
        <v>0.41930646405663574</v>
      </c>
      <c r="K76" s="5" t="s">
        <v>35</v>
      </c>
      <c r="L76" s="5" t="s">
        <v>198</v>
      </c>
      <c r="O76" s="9" t="str">
        <f>IF(Q76="","",COUNTIFS($M:$M,M76,$W:$W,"1"))</f>
        <v/>
      </c>
      <c r="P76" s="9" t="s">
        <v>28</v>
      </c>
      <c r="R76" s="5" t="s">
        <v>29</v>
      </c>
      <c r="T76" s="9" t="str">
        <f t="shared" si="5"/>
        <v/>
      </c>
      <c r="V76" s="5" t="s">
        <v>37</v>
      </c>
      <c r="W76" s="9">
        <f>IF(COUNTIFS($M$2:$M76,M76,$E$2:$E76,E76)=1,1,0)</f>
        <v>0</v>
      </c>
      <c r="X76" s="9">
        <v>108.98870329670331</v>
      </c>
      <c r="Y76" s="10">
        <v>0.24660220251817416</v>
      </c>
      <c r="Z76" s="9" t="str">
        <f>IF(COUNTIF(K$2:K76,K76)=1,SUMIF(K:K,K76,H:H)/SUMIF(K:K,K76,W:W),"")</f>
        <v/>
      </c>
      <c r="AA76" s="9" t="str">
        <f>IF(COUNTIF($M$2:M76,M76)=1, SUMIF(M:M,M76,X:X), "")</f>
        <v/>
      </c>
      <c r="AB76" s="9" t="str">
        <f>IF(COUNTIF($M$2:M76,M76)=1, SUMIF(M:M,M76,Y:Y), "")</f>
        <v/>
      </c>
    </row>
    <row r="77" spans="1:28" x14ac:dyDescent="0.25">
      <c r="A77" s="5">
        <f ca="1">IF(B77="","",COUNTA($B$2:B77))</f>
        <v>76</v>
      </c>
      <c r="B77" s="6">
        <f t="shared" ca="1" si="4"/>
        <v>46191</v>
      </c>
      <c r="C77" s="5" t="s">
        <v>237</v>
      </c>
      <c r="D77" s="5" t="s">
        <v>238</v>
      </c>
      <c r="E77" s="5" t="s">
        <v>235</v>
      </c>
      <c r="F77" s="5" t="s">
        <v>236</v>
      </c>
      <c r="G77" s="5">
        <v>178</v>
      </c>
      <c r="H77" s="7" t="str">
        <f>IF(COUNTIF($M$2:M77,M77)=1,
SUMIFS($G:$G,$M:$M,M77),
"")</f>
        <v/>
      </c>
      <c r="I77" s="7" t="str">
        <f>IF(E77&lt;&gt;E76,SUMIF(E:E,E77,X:X)," ")</f>
        <v xml:space="preserve"> </v>
      </c>
      <c r="J77" s="8" t="str">
        <f>IF(E77&lt;&gt;E76,SUMIF(E:E,E77,Y:Y)," ")</f>
        <v xml:space="preserve"> </v>
      </c>
      <c r="K77" s="5" t="s">
        <v>35</v>
      </c>
      <c r="L77" s="5" t="s">
        <v>198</v>
      </c>
      <c r="O77" s="9" t="str">
        <f>IF(Q77="","",COUNTIFS($M:$M,M77,$W:$W,"1"))</f>
        <v/>
      </c>
      <c r="P77" s="9" t="s">
        <v>28</v>
      </c>
      <c r="R77" s="5" t="s">
        <v>29</v>
      </c>
      <c r="T77" s="9" t="str">
        <f t="shared" si="5"/>
        <v/>
      </c>
      <c r="V77" s="5" t="s">
        <v>37</v>
      </c>
      <c r="W77" s="9">
        <f>IF(COUNTIFS($M$2:$M77,M77,$E$2:$E77,E77)=1,1,0)</f>
        <v>0</v>
      </c>
      <c r="X77" s="9">
        <v>45.900000000000006</v>
      </c>
      <c r="Y77" s="10">
        <v>0.15670426153846154</v>
      </c>
      <c r="Z77" s="9" t="str">
        <f>IF(COUNTIF(K$2:K77,K77)=1,SUMIF(K:K,K77,H:H)/SUMIF(K:K,K77,W:W),"")</f>
        <v/>
      </c>
      <c r="AA77" s="9" t="str">
        <f>IF(COUNTIF($M$2:M77,M77)=1, SUMIF(M:M,M77,X:X), "")</f>
        <v/>
      </c>
      <c r="AB77" s="9" t="str">
        <f>IF(COUNTIF($M$2:M77,M77)=1, SUMIF(M:M,M77,Y:Y), "")</f>
        <v/>
      </c>
    </row>
    <row r="78" spans="1:28" x14ac:dyDescent="0.25">
      <c r="A78" s="5">
        <f ca="1">IF(B78="","",COUNTA($B$2:B78))</f>
        <v>77</v>
      </c>
      <c r="B78" s="6">
        <f t="shared" ca="1" si="4"/>
        <v>46191</v>
      </c>
      <c r="C78" s="5" t="s">
        <v>239</v>
      </c>
      <c r="D78" s="5" t="s">
        <v>240</v>
      </c>
      <c r="E78" s="5" t="s">
        <v>235</v>
      </c>
      <c r="F78" s="5" t="s">
        <v>236</v>
      </c>
      <c r="G78" s="5">
        <v>20</v>
      </c>
      <c r="H78" s="7" t="str">
        <f>IF(COUNTIF($M$2:M78,M78)=1,
SUMIFS($G:$G,$M:$M,M78),
"")</f>
        <v/>
      </c>
      <c r="I78" s="7" t="str">
        <f>IF(E78&lt;&gt;E77,SUMIF(E:E,E78,X:X)," ")</f>
        <v xml:space="preserve"> </v>
      </c>
      <c r="J78" s="8" t="str">
        <f>IF(E78&lt;&gt;E77,SUMIF(E:E,E78,Y:Y)," ")</f>
        <v xml:space="preserve"> </v>
      </c>
      <c r="K78" s="5" t="s">
        <v>35</v>
      </c>
      <c r="L78" s="5" t="s">
        <v>198</v>
      </c>
      <c r="O78" s="9" t="str">
        <f>IF(Q78="","",COUNTIFS($M:$M,M78,$W:$W,"1"))</f>
        <v/>
      </c>
      <c r="P78" s="9" t="s">
        <v>28</v>
      </c>
      <c r="R78" s="5" t="s">
        <v>29</v>
      </c>
      <c r="T78" s="9" t="str">
        <f t="shared" si="5"/>
        <v/>
      </c>
      <c r="V78" s="5" t="s">
        <v>37</v>
      </c>
      <c r="W78" s="9">
        <f>IF(COUNTIFS($M$2:$M78,M78,$E$2:$E78,E78)=1,1,0)</f>
        <v>0</v>
      </c>
      <c r="X78" s="9">
        <v>2.4</v>
      </c>
      <c r="Y78" s="10">
        <v>1.6E-2</v>
      </c>
      <c r="Z78" s="9" t="str">
        <f>IF(COUNTIF(K$2:K78,K78)=1,SUMIF(K:K,K78,H:H)/SUMIF(K:K,K78,W:W),"")</f>
        <v/>
      </c>
      <c r="AA78" s="9" t="str">
        <f>IF(COUNTIF($M$2:M78,M78)=1, SUMIF(M:M,M78,X:X), "")</f>
        <v/>
      </c>
      <c r="AB78" s="9" t="str">
        <f>IF(COUNTIF($M$2:M78,M78)=1, SUMIF(M:M,M78,Y:Y), "")</f>
        <v/>
      </c>
    </row>
    <row r="79" spans="1:28" x14ac:dyDescent="0.25">
      <c r="A79" s="5">
        <f ca="1">IF(B79="","",COUNTA($B$2:B79))</f>
        <v>78</v>
      </c>
      <c r="B79" s="6">
        <f t="shared" ca="1" si="4"/>
        <v>46191</v>
      </c>
      <c r="C79" s="5" t="s">
        <v>241</v>
      </c>
      <c r="D79" s="5" t="s">
        <v>242</v>
      </c>
      <c r="E79" s="5" t="s">
        <v>243</v>
      </c>
      <c r="F79" s="5" t="s">
        <v>244</v>
      </c>
      <c r="G79" s="5">
        <v>167</v>
      </c>
      <c r="H79" s="7" t="str">
        <f>IF(COUNTIF($M$2:M79,M79)=1,
SUMIFS($G:$G,$M:$M,M79),
"")</f>
        <v/>
      </c>
      <c r="I79" s="7">
        <f>IF(E79&lt;&gt;E78,SUMIF(E:E,E79,X:X)," ")</f>
        <v>249.21274285714284</v>
      </c>
      <c r="J79" s="8">
        <f>IF(E79&lt;&gt;E78,SUMIF(E:E,E79,Y:Y)," ")</f>
        <v>0.82502266551434444</v>
      </c>
      <c r="K79" s="5" t="s">
        <v>35</v>
      </c>
      <c r="L79" s="5" t="s">
        <v>198</v>
      </c>
      <c r="O79" s="9" t="str">
        <f>IF(Q79="","",COUNTIFS($M:$M,M79,$W:$W,"1"))</f>
        <v/>
      </c>
      <c r="P79" s="9" t="s">
        <v>28</v>
      </c>
      <c r="R79" s="5" t="s">
        <v>29</v>
      </c>
      <c r="T79" s="9" t="str">
        <f t="shared" si="5"/>
        <v/>
      </c>
      <c r="V79" s="5" t="s">
        <v>37</v>
      </c>
      <c r="W79" s="9">
        <f>IF(COUNTIFS($M$2:$M79,M79,$E$2:$E79,E79)=1,1,0)</f>
        <v>0</v>
      </c>
      <c r="X79" s="9">
        <v>106.41274285714286</v>
      </c>
      <c r="Y79" s="10">
        <v>0.29357063474511352</v>
      </c>
      <c r="Z79" s="9" t="str">
        <f>IF(COUNTIF(K$2:K79,K79)=1,SUMIF(K:K,K79,H:H)/SUMIF(K:K,K79,W:W),"")</f>
        <v/>
      </c>
      <c r="AA79" s="9" t="str">
        <f>IF(COUNTIF($M$2:M79,M79)=1, SUMIF(M:M,M79,X:X), "")</f>
        <v/>
      </c>
      <c r="AB79" s="9" t="str">
        <f>IF(COUNTIF($M$2:M79,M79)=1, SUMIF(M:M,M79,Y:Y), "")</f>
        <v/>
      </c>
    </row>
    <row r="80" spans="1:28" x14ac:dyDescent="0.25">
      <c r="A80" s="5">
        <f ca="1">IF(B80="","",COUNTA($B$2:B80))</f>
        <v>79</v>
      </c>
      <c r="B80" s="6">
        <f t="shared" ca="1" si="4"/>
        <v>46191</v>
      </c>
      <c r="C80" s="5" t="s">
        <v>245</v>
      </c>
      <c r="D80" s="5" t="s">
        <v>246</v>
      </c>
      <c r="E80" s="5" t="s">
        <v>243</v>
      </c>
      <c r="F80" s="5" t="s">
        <v>244</v>
      </c>
      <c r="G80" s="5">
        <v>252</v>
      </c>
      <c r="H80" s="7" t="str">
        <f>IF(COUNTIF($M$2:M80,M80)=1,
SUMIFS($G:$G,$M:$M,M80),
"")</f>
        <v/>
      </c>
      <c r="I80" s="7" t="str">
        <f>IF(E80&lt;&gt;E79,SUMIF(E:E,E80,X:X)," ")</f>
        <v xml:space="preserve"> </v>
      </c>
      <c r="J80" s="8" t="str">
        <f>IF(E80&lt;&gt;E79,SUMIF(E:E,E80,Y:Y)," ")</f>
        <v xml:space="preserve"> </v>
      </c>
      <c r="K80" s="5" t="s">
        <v>35</v>
      </c>
      <c r="L80" s="5" t="s">
        <v>198</v>
      </c>
      <c r="O80" s="9" t="str">
        <f>IF(Q80="","",COUNTIFS($M:$M,M80,$W:$W,"1"))</f>
        <v/>
      </c>
      <c r="P80" s="9" t="s">
        <v>28</v>
      </c>
      <c r="R80" s="5" t="s">
        <v>29</v>
      </c>
      <c r="T80" s="9" t="str">
        <f t="shared" si="5"/>
        <v/>
      </c>
      <c r="V80" s="5" t="s">
        <v>37</v>
      </c>
      <c r="W80" s="9">
        <f>IF(COUNTIFS($M$2:$M80,M80,$E$2:$E80,E80)=1,1,0)</f>
        <v>0</v>
      </c>
      <c r="X80" s="9">
        <v>135.6</v>
      </c>
      <c r="Y80" s="10">
        <v>0.48345203076923082</v>
      </c>
      <c r="Z80" s="9" t="str">
        <f>IF(COUNTIF(K$2:K80,K80)=1,SUMIF(K:K,K80,H:H)/SUMIF(K:K,K80,W:W),"")</f>
        <v/>
      </c>
      <c r="AA80" s="9" t="str">
        <f>IF(COUNTIF($M$2:M80,M80)=1, SUMIF(M:M,M80,X:X), "")</f>
        <v/>
      </c>
      <c r="AB80" s="9" t="str">
        <f>IF(COUNTIF($M$2:M80,M80)=1, SUMIF(M:M,M80,Y:Y), "")</f>
        <v/>
      </c>
    </row>
    <row r="81" spans="1:28" x14ac:dyDescent="0.25">
      <c r="A81" s="5">
        <f ca="1">IF(B81="","",COUNTA($B$2:B81))</f>
        <v>80</v>
      </c>
      <c r="B81" s="6">
        <f t="shared" ca="1" si="4"/>
        <v>46191</v>
      </c>
      <c r="C81" s="5" t="s">
        <v>247</v>
      </c>
      <c r="D81" s="5" t="s">
        <v>248</v>
      </c>
      <c r="E81" s="5" t="s">
        <v>243</v>
      </c>
      <c r="F81" s="5" t="s">
        <v>244</v>
      </c>
      <c r="G81" s="5">
        <v>60</v>
      </c>
      <c r="H81" s="7" t="str">
        <f>IF(COUNTIF($M$2:M81,M81)=1,
SUMIFS($G:$G,$M:$M,M81),
"")</f>
        <v/>
      </c>
      <c r="I81" s="7" t="str">
        <f>IF(E81&lt;&gt;E80,SUMIF(E:E,E81,X:X)," ")</f>
        <v xml:space="preserve"> </v>
      </c>
      <c r="J81" s="8" t="str">
        <f>IF(E81&lt;&gt;E80,SUMIF(E:E,E81,Y:Y)," ")</f>
        <v xml:space="preserve"> </v>
      </c>
      <c r="K81" s="5" t="s">
        <v>35</v>
      </c>
      <c r="L81" s="5" t="s">
        <v>198</v>
      </c>
      <c r="O81" s="9" t="str">
        <f>IF(Q81="","",COUNTIFS($M:$M,M81,$W:$W,"1"))</f>
        <v/>
      </c>
      <c r="P81" s="9" t="s">
        <v>28</v>
      </c>
      <c r="R81" s="5" t="s">
        <v>29</v>
      </c>
      <c r="T81" s="9" t="str">
        <f t="shared" si="5"/>
        <v/>
      </c>
      <c r="V81" s="5" t="s">
        <v>37</v>
      </c>
      <c r="W81" s="9">
        <f>IF(COUNTIFS($M$2:$M81,M81,$E$2:$E81,E81)=1,1,0)</f>
        <v>0</v>
      </c>
      <c r="X81" s="9">
        <v>7.1999999999999993</v>
      </c>
      <c r="Y81" s="10">
        <v>4.8000000000000001E-2</v>
      </c>
      <c r="Z81" s="9" t="str">
        <f>IF(COUNTIF(K$2:K81,K81)=1,SUMIF(K:K,K81,H:H)/SUMIF(K:K,K81,W:W),"")</f>
        <v/>
      </c>
      <c r="AA81" s="9" t="str">
        <f>IF(COUNTIF($M$2:M81,M81)=1, SUMIF(M:M,M81,X:X), "")</f>
        <v/>
      </c>
      <c r="AB81" s="9" t="str">
        <f>IF(COUNTIF($M$2:M81,M81)=1, SUMIF(M:M,M81,Y:Y), "")</f>
        <v/>
      </c>
    </row>
    <row r="82" spans="1:28" x14ac:dyDescent="0.25">
      <c r="A82" s="5">
        <f ca="1">IF(B82="","",COUNTA($B$2:B82))</f>
        <v>81</v>
      </c>
      <c r="B82" s="6">
        <f t="shared" ca="1" si="4"/>
        <v>46191</v>
      </c>
      <c r="C82" s="5" t="s">
        <v>249</v>
      </c>
      <c r="D82" s="5" t="s">
        <v>250</v>
      </c>
      <c r="E82" s="5" t="s">
        <v>251</v>
      </c>
      <c r="F82" s="5" t="s">
        <v>252</v>
      </c>
      <c r="G82" s="5">
        <v>168</v>
      </c>
      <c r="H82" s="7" t="str">
        <f>IF(COUNTIF($M$2:M82,M82)=1,
SUMIFS($G:$G,$M:$M,M82),
"")</f>
        <v/>
      </c>
      <c r="I82" s="7">
        <f>IF(E82&lt;&gt;E81,SUMIF(E:E,E82,X:X)," ")</f>
        <v>175.75849999999997</v>
      </c>
      <c r="J82" s="8">
        <f>IF(E82&lt;&gt;E81,SUMIF(E:E,E82,Y:Y)," ")</f>
        <v>0.49540080194296932</v>
      </c>
      <c r="K82" s="5" t="s">
        <v>35</v>
      </c>
      <c r="L82" s="5" t="s">
        <v>198</v>
      </c>
      <c r="O82" s="9" t="str">
        <f>IF(Q82="","",COUNTIFS($M:$M,M82,$W:$W,"1"))</f>
        <v/>
      </c>
      <c r="P82" s="9" t="s">
        <v>28</v>
      </c>
      <c r="R82" s="5" t="s">
        <v>29</v>
      </c>
      <c r="T82" s="9" t="str">
        <f t="shared" si="5"/>
        <v/>
      </c>
      <c r="V82" s="5" t="s">
        <v>37</v>
      </c>
      <c r="W82" s="9">
        <f>IF(COUNTIFS($M$2:$M82,M82,$E$2:$E82,E82)=1,1,0)</f>
        <v>0</v>
      </c>
      <c r="X82" s="9">
        <v>126.41849999999999</v>
      </c>
      <c r="Y82" s="10">
        <v>0.31770361732758473</v>
      </c>
      <c r="Z82" s="9" t="str">
        <f>IF(COUNTIF(K$2:K82,K82)=1,SUMIF(K:K,K82,H:H)/SUMIF(K:K,K82,W:W),"")</f>
        <v/>
      </c>
      <c r="AA82" s="9" t="str">
        <f>IF(COUNTIF($M$2:M82,M82)=1, SUMIF(M:M,M82,X:X), "")</f>
        <v/>
      </c>
      <c r="AB82" s="9" t="str">
        <f>IF(COUNTIF($M$2:M82,M82)=1, SUMIF(M:M,M82,Y:Y), "")</f>
        <v/>
      </c>
    </row>
    <row r="83" spans="1:28" x14ac:dyDescent="0.25">
      <c r="A83" s="5">
        <f ca="1">IF(B83="","",COUNTA($B$2:B83))</f>
        <v>82</v>
      </c>
      <c r="B83" s="6">
        <f t="shared" ca="1" si="4"/>
        <v>46191</v>
      </c>
      <c r="C83" s="5" t="s">
        <v>253</v>
      </c>
      <c r="D83" s="5" t="s">
        <v>254</v>
      </c>
      <c r="E83" s="5" t="s">
        <v>251</v>
      </c>
      <c r="F83" s="5" t="s">
        <v>252</v>
      </c>
      <c r="G83" s="5">
        <v>80</v>
      </c>
      <c r="H83" s="7" t="str">
        <f>IF(COUNTIF($M$2:M83,M83)=1,
SUMIFS($G:$G,$M:$M,M83),
"")</f>
        <v/>
      </c>
      <c r="I83" s="7" t="str">
        <f>IF(E83&lt;&gt;E82,SUMIF(E:E,E83,X:X)," ")</f>
        <v xml:space="preserve"> </v>
      </c>
      <c r="J83" s="8" t="str">
        <f>IF(E83&lt;&gt;E82,SUMIF(E:E,E83,Y:Y)," ")</f>
        <v xml:space="preserve"> </v>
      </c>
      <c r="K83" s="5" t="s">
        <v>35</v>
      </c>
      <c r="L83" s="5" t="s">
        <v>198</v>
      </c>
      <c r="O83" s="9" t="str">
        <f>IF(Q83="","",COUNTIFS($M:$M,M83,$W:$W,"1"))</f>
        <v/>
      </c>
      <c r="P83" s="9" t="s">
        <v>28</v>
      </c>
      <c r="R83" s="5" t="s">
        <v>29</v>
      </c>
      <c r="T83" s="9" t="str">
        <f t="shared" si="5"/>
        <v/>
      </c>
      <c r="V83" s="5" t="s">
        <v>37</v>
      </c>
      <c r="W83" s="9">
        <f>IF(COUNTIFS($M$2:$M83,M83,$E$2:$E83,E83)=1,1,0)</f>
        <v>0</v>
      </c>
      <c r="X83" s="9">
        <v>7.6400000000000006</v>
      </c>
      <c r="Y83" s="10">
        <v>4.6491999999999999E-2</v>
      </c>
      <c r="Z83" s="9" t="str">
        <f>IF(COUNTIF(K$2:K83,K83)=1,SUMIF(K:K,K83,H:H)/SUMIF(K:K,K83,W:W),"")</f>
        <v/>
      </c>
      <c r="AA83" s="9" t="str">
        <f>IF(COUNTIF($M$2:M83,M83)=1, SUMIF(M:M,M83,X:X), "")</f>
        <v/>
      </c>
      <c r="AB83" s="9" t="str">
        <f>IF(COUNTIF($M$2:M83,M83)=1, SUMIF(M:M,M83,Y:Y), "")</f>
        <v/>
      </c>
    </row>
    <row r="84" spans="1:28" x14ac:dyDescent="0.25">
      <c r="A84" s="5">
        <f ca="1">IF(B84="","",COUNTA($B$2:B84))</f>
        <v>83</v>
      </c>
      <c r="B84" s="6">
        <f t="shared" ca="1" si="4"/>
        <v>46191</v>
      </c>
      <c r="C84" s="5" t="s">
        <v>255</v>
      </c>
      <c r="D84" s="5" t="s">
        <v>256</v>
      </c>
      <c r="E84" s="5" t="s">
        <v>251</v>
      </c>
      <c r="F84" s="5" t="s">
        <v>252</v>
      </c>
      <c r="G84" s="5">
        <v>106</v>
      </c>
      <c r="H84" s="7" t="str">
        <f>IF(COUNTIF($M$2:M84,M84)=1,
SUMIFS($G:$G,$M:$M,M84),
"")</f>
        <v/>
      </c>
      <c r="I84" s="7" t="str">
        <f>IF(E84&lt;&gt;E83,SUMIF(E:E,E84,X:X)," ")</f>
        <v xml:space="preserve"> </v>
      </c>
      <c r="J84" s="8" t="str">
        <f>IF(E84&lt;&gt;E83,SUMIF(E:E,E84,Y:Y)," ")</f>
        <v xml:space="preserve"> </v>
      </c>
      <c r="K84" s="5" t="s">
        <v>35</v>
      </c>
      <c r="L84" s="5" t="s">
        <v>198</v>
      </c>
      <c r="O84" s="9" t="str">
        <f>IF(Q84="","",COUNTIFS($M:$M,M84,$W:$W,"1"))</f>
        <v/>
      </c>
      <c r="P84" s="9" t="s">
        <v>28</v>
      </c>
      <c r="R84" s="5" t="s">
        <v>29</v>
      </c>
      <c r="T84" s="9" t="str">
        <f t="shared" si="5"/>
        <v/>
      </c>
      <c r="V84" s="5" t="s">
        <v>37</v>
      </c>
      <c r="W84" s="9">
        <f>IF(COUNTIFS($M$2:$M84,M84,$E$2:$E84,E84)=1,1,0)</f>
        <v>0</v>
      </c>
      <c r="X84" s="9">
        <v>41.7</v>
      </c>
      <c r="Y84" s="10">
        <v>0.13120518461538463</v>
      </c>
      <c r="Z84" s="9" t="str">
        <f>IF(COUNTIF(K$2:K84,K84)=1,SUMIF(K:K,K84,H:H)/SUMIF(K:K,K84,W:W),"")</f>
        <v/>
      </c>
      <c r="AA84" s="9" t="str">
        <f>IF(COUNTIF($M$2:M84,M84)=1, SUMIF(M:M,M84,X:X), "")</f>
        <v/>
      </c>
      <c r="AB84" s="9" t="str">
        <f>IF(COUNTIF($M$2:M84,M84)=1, SUMIF(M:M,M84,Y:Y), "")</f>
        <v/>
      </c>
    </row>
    <row r="85" spans="1:28" x14ac:dyDescent="0.25">
      <c r="A85" s="5">
        <f ca="1">IF(B85="","",COUNTA($B$2:B85))</f>
        <v>84</v>
      </c>
      <c r="B85" s="6">
        <f t="shared" ca="1" si="4"/>
        <v>46191</v>
      </c>
      <c r="C85" s="5" t="s">
        <v>257</v>
      </c>
      <c r="D85" s="5" t="s">
        <v>258</v>
      </c>
      <c r="E85" s="5" t="s">
        <v>259</v>
      </c>
      <c r="F85" s="5" t="s">
        <v>260</v>
      </c>
      <c r="G85" s="5">
        <v>218</v>
      </c>
      <c r="H85" s="7" t="str">
        <f>IF(COUNTIF($M$2:M85,M85)=1,
SUMIFS($G:$G,$M:$M,M85),
"")</f>
        <v/>
      </c>
      <c r="I85" s="7">
        <f>IF(E85&lt;&gt;E84,SUMIF(E:E,E85,X:X)," ")</f>
        <v>218.09046095238094</v>
      </c>
      <c r="J85" s="8">
        <f>IF(E85&lt;&gt;E84,SUMIF(E:E,E85,Y:Y)," ")</f>
        <v>0.61425071901642991</v>
      </c>
      <c r="K85" s="5" t="s">
        <v>35</v>
      </c>
      <c r="L85" s="5" t="s">
        <v>198</v>
      </c>
      <c r="O85" s="9" t="str">
        <f>IF(Q85="","",COUNTIFS($M:$M,M85,$W:$W,"1"))</f>
        <v/>
      </c>
      <c r="P85" s="9" t="s">
        <v>28</v>
      </c>
      <c r="R85" s="5" t="s">
        <v>29</v>
      </c>
      <c r="T85" s="9" t="str">
        <f t="shared" si="5"/>
        <v/>
      </c>
      <c r="V85" s="5" t="s">
        <v>37</v>
      </c>
      <c r="W85" s="9">
        <f>IF(COUNTIFS($M$2:$M85,M85,$E$2:$E85,E85)=1,1,0)</f>
        <v>0</v>
      </c>
      <c r="X85" s="9">
        <v>143.59046095238094</v>
      </c>
      <c r="Y85" s="10">
        <v>0.36852461132412218</v>
      </c>
      <c r="Z85" s="9" t="str">
        <f>IF(COUNTIF(K$2:K85,K85)=1,SUMIF(K:K,K85,H:H)/SUMIF(K:K,K85,W:W),"")</f>
        <v/>
      </c>
      <c r="AA85" s="9" t="str">
        <f>IF(COUNTIF($M$2:M85,M85)=1, SUMIF(M:M,M85,X:X), "")</f>
        <v/>
      </c>
      <c r="AB85" s="9" t="str">
        <f>IF(COUNTIF($M$2:M85,M85)=1, SUMIF(M:M,M85,Y:Y), "")</f>
        <v/>
      </c>
    </row>
    <row r="86" spans="1:28" x14ac:dyDescent="0.25">
      <c r="A86" s="5">
        <f ca="1">IF(B86="","",COUNTA($B$2:B86))</f>
        <v>85</v>
      </c>
      <c r="B86" s="6">
        <f t="shared" ca="1" si="4"/>
        <v>46191</v>
      </c>
      <c r="C86" s="5" t="s">
        <v>261</v>
      </c>
      <c r="D86" s="5" t="s">
        <v>262</v>
      </c>
      <c r="E86" s="5" t="s">
        <v>259</v>
      </c>
      <c r="F86" s="5" t="s">
        <v>260</v>
      </c>
      <c r="G86" s="5">
        <v>80</v>
      </c>
      <c r="H86" s="7" t="str">
        <f>IF(COUNTIF($M$2:M86,M86)=1,
SUMIFS($G:$G,$M:$M,M86),
"")</f>
        <v/>
      </c>
      <c r="I86" s="7" t="str">
        <f>IF(E86&lt;&gt;E85,SUMIF(E:E,E86,X:X)," ")</f>
        <v xml:space="preserve"> </v>
      </c>
      <c r="J86" s="8" t="str">
        <f>IF(E86&lt;&gt;E85,SUMIF(E:E,E86,Y:Y)," ")</f>
        <v xml:space="preserve"> </v>
      </c>
      <c r="K86" s="5" t="s">
        <v>35</v>
      </c>
      <c r="L86" s="5" t="s">
        <v>198</v>
      </c>
      <c r="O86" s="9" t="str">
        <f>IF(Q86="","",COUNTIFS($M:$M,M86,$W:$W,"1"))</f>
        <v/>
      </c>
      <c r="P86" s="9" t="s">
        <v>28</v>
      </c>
      <c r="R86" s="5" t="s">
        <v>29</v>
      </c>
      <c r="T86" s="9" t="str">
        <f t="shared" si="5"/>
        <v/>
      </c>
      <c r="V86" s="5" t="s">
        <v>37</v>
      </c>
      <c r="W86" s="9">
        <f>IF(COUNTIFS($M$2:$M86,M86,$E$2:$E86,E86)=1,1,0)</f>
        <v>0</v>
      </c>
      <c r="X86" s="9">
        <v>7.6</v>
      </c>
      <c r="Y86" s="10">
        <v>4.4999384615384608E-2</v>
      </c>
      <c r="Z86" s="9" t="str">
        <f>IF(COUNTIF(K$2:K86,K86)=1,SUMIF(K:K,K86,H:H)/SUMIF(K:K,K86,W:W),"")</f>
        <v/>
      </c>
      <c r="AA86" s="9" t="str">
        <f>IF(COUNTIF($M$2:M86,M86)=1, SUMIF(M:M,M86,X:X), "")</f>
        <v/>
      </c>
      <c r="AB86" s="9" t="str">
        <f>IF(COUNTIF($M$2:M86,M86)=1, SUMIF(M:M,M86,Y:Y), "")</f>
        <v/>
      </c>
    </row>
    <row r="87" spans="1:28" x14ac:dyDescent="0.25">
      <c r="A87" s="5">
        <f ca="1">IF(B87="","",COUNTA($B$2:B87))</f>
        <v>86</v>
      </c>
      <c r="B87" s="6">
        <f t="shared" ca="1" si="4"/>
        <v>46191</v>
      </c>
      <c r="C87" s="5" t="s">
        <v>263</v>
      </c>
      <c r="D87" s="5" t="s">
        <v>264</v>
      </c>
      <c r="E87" s="5" t="s">
        <v>259</v>
      </c>
      <c r="F87" s="5" t="s">
        <v>260</v>
      </c>
      <c r="G87" s="5">
        <v>106</v>
      </c>
      <c r="H87" s="7" t="str">
        <f>IF(COUNTIF($M$2:M87,M87)=1,
SUMIFS($G:$G,$M:$M,M87),
"")</f>
        <v/>
      </c>
      <c r="I87" s="7" t="str">
        <f>IF(E87&lt;&gt;E86,SUMIF(E:E,E87,X:X)," ")</f>
        <v xml:space="preserve"> </v>
      </c>
      <c r="J87" s="8" t="str">
        <f>IF(E87&lt;&gt;E86,SUMIF(E:E,E87,Y:Y)," ")</f>
        <v xml:space="preserve"> </v>
      </c>
      <c r="K87" s="5" t="s">
        <v>35</v>
      </c>
      <c r="L87" s="5" t="s">
        <v>198</v>
      </c>
      <c r="O87" s="9" t="str">
        <f>IF(Q87="","",COUNTIFS($M:$M,M87,$W:$W,"1"))</f>
        <v/>
      </c>
      <c r="P87" s="9" t="s">
        <v>28</v>
      </c>
      <c r="R87" s="5" t="s">
        <v>29</v>
      </c>
      <c r="T87" s="9" t="str">
        <f t="shared" si="5"/>
        <v/>
      </c>
      <c r="V87" s="5" t="s">
        <v>37</v>
      </c>
      <c r="W87" s="9">
        <f>IF(COUNTIFS($M$2:$M87,M87,$E$2:$E87,E87)=1,1,0)</f>
        <v>0</v>
      </c>
      <c r="X87" s="9">
        <v>66.900000000000006</v>
      </c>
      <c r="Y87" s="10">
        <v>0.20072672307692307</v>
      </c>
      <c r="Z87" s="9" t="str">
        <f>IF(COUNTIF(K$2:K87,K87)=1,SUMIF(K:K,K87,H:H)/SUMIF(K:K,K87,W:W),"")</f>
        <v/>
      </c>
      <c r="AA87" s="9" t="str">
        <f>IF(COUNTIF($M$2:M87,M87)=1, SUMIF(M:M,M87,X:X), "")</f>
        <v/>
      </c>
      <c r="AB87" s="9" t="str">
        <f>IF(COUNTIF($M$2:M87,M87)=1, SUMIF(M:M,M87,Y:Y), "")</f>
        <v/>
      </c>
    </row>
    <row r="88" spans="1:28" x14ac:dyDescent="0.25">
      <c r="A88" s="5">
        <f ca="1">IF(B88="","",COUNTA($B$2:B88))</f>
        <v>87</v>
      </c>
      <c r="B88" s="6">
        <f t="shared" ca="1" si="4"/>
        <v>46191</v>
      </c>
      <c r="C88" s="5" t="s">
        <v>265</v>
      </c>
      <c r="D88" s="5" t="s">
        <v>266</v>
      </c>
      <c r="E88" s="5" t="s">
        <v>267</v>
      </c>
      <c r="F88" s="5" t="s">
        <v>268</v>
      </c>
      <c r="G88" s="5">
        <v>353</v>
      </c>
      <c r="H88" s="7" t="str">
        <f>IF(COUNTIF($M$2:M88,M88)=1,
SUMIFS($G:$G,$M:$M,M88),
"")</f>
        <v/>
      </c>
      <c r="I88" s="7">
        <f>IF(E88&lt;&gt;E87,SUMIF(E:E,E88,X:X)," ")</f>
        <v>335.53411428571428</v>
      </c>
      <c r="J88" s="8">
        <f>IF(E88&lt;&gt;E87,SUMIF(E:E,E88,Y:Y)," ")</f>
        <v>1.055651586142857</v>
      </c>
      <c r="K88" s="5" t="s">
        <v>35</v>
      </c>
      <c r="L88" s="5" t="s">
        <v>198</v>
      </c>
      <c r="O88" s="9" t="str">
        <f>IF(Q88="","",COUNTIFS($M:$M,M88,$W:$W,"1"))</f>
        <v/>
      </c>
      <c r="P88" s="9" t="s">
        <v>28</v>
      </c>
      <c r="R88" s="5" t="s">
        <v>29</v>
      </c>
      <c r="T88" s="9" t="str">
        <f t="shared" si="5"/>
        <v/>
      </c>
      <c r="V88" s="5" t="s">
        <v>37</v>
      </c>
      <c r="W88" s="9">
        <f>IF(COUNTIFS($M$2:$M88,M88,$E$2:$E88,E88)=1,1,0)</f>
        <v>0</v>
      </c>
      <c r="X88" s="9">
        <v>149.56651428571428</v>
      </c>
      <c r="Y88" s="10">
        <v>0.447911863065934</v>
      </c>
      <c r="Z88" s="9" t="str">
        <f>IF(COUNTIF(K$2:K88,K88)=1,SUMIF(K:K,K88,H:H)/SUMIF(K:K,K88,W:W),"")</f>
        <v/>
      </c>
      <c r="AA88" s="9" t="str">
        <f>IF(COUNTIF($M$2:M88,M88)=1, SUMIF(M:M,M88,X:X), "")</f>
        <v/>
      </c>
      <c r="AB88" s="9" t="str">
        <f>IF(COUNTIF($M$2:M88,M88)=1, SUMIF(M:M,M88,Y:Y), "")</f>
        <v/>
      </c>
    </row>
    <row r="89" spans="1:28" x14ac:dyDescent="0.25">
      <c r="A89" s="5">
        <f ca="1">IF(B89="","",COUNTA($B$2:B89))</f>
        <v>88</v>
      </c>
      <c r="B89" s="6">
        <f t="shared" ca="1" si="4"/>
        <v>46191</v>
      </c>
      <c r="C89" s="5" t="s">
        <v>269</v>
      </c>
      <c r="D89" s="5" t="s">
        <v>270</v>
      </c>
      <c r="E89" s="5" t="s">
        <v>267</v>
      </c>
      <c r="F89" s="5" t="s">
        <v>268</v>
      </c>
      <c r="G89" s="5">
        <v>244</v>
      </c>
      <c r="H89" s="7" t="str">
        <f>IF(COUNTIF($M$2:M89,M89)=1,
SUMIFS($G:$G,$M:$M,M89),
"")</f>
        <v/>
      </c>
      <c r="I89" s="7" t="str">
        <f>IF(E89&lt;&gt;E88,SUMIF(E:E,E89,X:X)," ")</f>
        <v xml:space="preserve"> </v>
      </c>
      <c r="J89" s="8" t="str">
        <f>IF(E89&lt;&gt;E88,SUMIF(E:E,E89,Y:Y)," ")</f>
        <v xml:space="preserve"> </v>
      </c>
      <c r="K89" s="5" t="s">
        <v>35</v>
      </c>
      <c r="L89" s="5" t="s">
        <v>198</v>
      </c>
      <c r="O89" s="9" t="str">
        <f>IF(Q89="","",COUNTIFS($M:$M,M89,$W:$W,"1"))</f>
        <v/>
      </c>
      <c r="P89" s="9" t="s">
        <v>28</v>
      </c>
      <c r="R89" s="5" t="s">
        <v>29</v>
      </c>
      <c r="T89" s="9" t="str">
        <f t="shared" si="5"/>
        <v/>
      </c>
      <c r="V89" s="5" t="s">
        <v>37</v>
      </c>
      <c r="W89" s="9">
        <f>IF(COUNTIFS($M$2:$M89,M89,$E$2:$E89,E89)=1,1,0)</f>
        <v>0</v>
      </c>
      <c r="X89" s="9">
        <v>24.051200000000001</v>
      </c>
      <c r="Y89" s="10">
        <v>0.1497873846153846</v>
      </c>
      <c r="Z89" s="9" t="str">
        <f>IF(COUNTIF(K$2:K89,K89)=1,SUMIF(K:K,K89,H:H)/SUMIF(K:K,K89,W:W),"")</f>
        <v/>
      </c>
      <c r="AA89" s="9" t="str">
        <f>IF(COUNTIF($M$2:M89,M89)=1, SUMIF(M:M,M89,X:X), "")</f>
        <v/>
      </c>
      <c r="AB89" s="9" t="str">
        <f>IF(COUNTIF($M$2:M89,M89)=1, SUMIF(M:M,M89,Y:Y), "")</f>
        <v/>
      </c>
    </row>
    <row r="90" spans="1:28" x14ac:dyDescent="0.25">
      <c r="A90" s="5">
        <f ca="1">IF(B90="","",COUNTA($B$2:B90))</f>
        <v>89</v>
      </c>
      <c r="B90" s="6">
        <f t="shared" ca="1" si="4"/>
        <v>46191</v>
      </c>
      <c r="C90" s="5" t="s">
        <v>271</v>
      </c>
      <c r="D90" s="5" t="s">
        <v>272</v>
      </c>
      <c r="E90" s="5" t="s">
        <v>267</v>
      </c>
      <c r="F90" s="5" t="s">
        <v>268</v>
      </c>
      <c r="G90" s="5">
        <v>416</v>
      </c>
      <c r="H90" s="7" t="str">
        <f>IF(COUNTIF($M$2:M90,M90)=1,
SUMIFS($G:$G,$M:$M,M90),
"")</f>
        <v/>
      </c>
      <c r="I90" s="7" t="str">
        <f>IF(E90&lt;&gt;E89,SUMIF(E:E,E90,X:X)," ")</f>
        <v xml:space="preserve"> </v>
      </c>
      <c r="J90" s="8" t="str">
        <f>IF(E90&lt;&gt;E89,SUMIF(E:E,E90,Y:Y)," ")</f>
        <v xml:space="preserve"> </v>
      </c>
      <c r="K90" s="5" t="s">
        <v>35</v>
      </c>
      <c r="L90" s="5" t="s">
        <v>198</v>
      </c>
      <c r="O90" s="9" t="str">
        <f>IF(Q90="","",COUNTIFS($M:$M,M90,$W:$W,"1"))</f>
        <v/>
      </c>
      <c r="P90" s="9" t="s">
        <v>28</v>
      </c>
      <c r="R90" s="5" t="s">
        <v>29</v>
      </c>
      <c r="T90" s="9" t="str">
        <f t="shared" si="5"/>
        <v/>
      </c>
      <c r="V90" s="5" t="s">
        <v>37</v>
      </c>
      <c r="W90" s="9">
        <f>IF(COUNTIFS($M$2:$M90,M90,$E$2:$E90,E90)=1,1,0)</f>
        <v>0</v>
      </c>
      <c r="X90" s="9">
        <v>161.91640000000001</v>
      </c>
      <c r="Y90" s="10">
        <v>0.45795233846153843</v>
      </c>
      <c r="Z90" s="9" t="str">
        <f>IF(COUNTIF(K$2:K90,K90)=1,SUMIF(K:K,K90,H:H)/SUMIF(K:K,K90,W:W),"")</f>
        <v/>
      </c>
      <c r="AA90" s="9" t="str">
        <f>IF(COUNTIF($M$2:M90,M90)=1, SUMIF(M:M,M90,X:X), "")</f>
        <v/>
      </c>
      <c r="AB90" s="9" t="str">
        <f>IF(COUNTIF($M$2:M90,M90)=1, SUMIF(M:M,M90,Y:Y), "")</f>
        <v/>
      </c>
    </row>
    <row r="91" spans="1:28" x14ac:dyDescent="0.25">
      <c r="A91" s="5">
        <f ca="1">IF(B91="","",COUNTA($B$2:B91))</f>
        <v>90</v>
      </c>
      <c r="B91" s="6">
        <f t="shared" ref="B91:B100" ca="1" si="6">TODAY()+1</f>
        <v>46191</v>
      </c>
      <c r="C91" s="5" t="s">
        <v>274</v>
      </c>
      <c r="D91" s="5" t="s">
        <v>275</v>
      </c>
      <c r="E91" s="5" t="s">
        <v>276</v>
      </c>
      <c r="F91" s="5" t="s">
        <v>277</v>
      </c>
      <c r="G91" s="5">
        <v>304</v>
      </c>
      <c r="H91" s="7" t="str">
        <f>IF(COUNTIF($M$2:M91,M91)=1,
SUMIFS($G:$G,$M:$M,M91),
"")</f>
        <v/>
      </c>
      <c r="I91" s="7" t="e">
        <f>IF(E91&lt;&gt;#REF!,SUMIF(E:E,E91,X:X)," ")</f>
        <v>#REF!</v>
      </c>
      <c r="J91" s="8" t="e">
        <f>IF(E91&lt;&gt;#REF!,SUMIF(E:E,E91,Y:Y)," ")</f>
        <v>#REF!</v>
      </c>
      <c r="K91" s="5" t="s">
        <v>35</v>
      </c>
      <c r="L91" s="5" t="s">
        <v>273</v>
      </c>
      <c r="O91" s="9" t="str">
        <f>IF(Q91="","",COUNTIFS($M:$M,M91,$W:$W,"1"))</f>
        <v/>
      </c>
      <c r="P91" s="9" t="s">
        <v>28</v>
      </c>
      <c r="R91" s="5" t="s">
        <v>29</v>
      </c>
      <c r="T91" s="9" t="str">
        <f t="shared" ref="T91:T100" si="7">IF(OR(Q91="", M91="", N91=""), "", "LOT SAU KHOẢNG " &amp; TEXT(IF(Q91=5, N91+TIME(2,0,0), IF(OR(Q91=7, Q91=8), N91+TIME(2,48,0), IF(Q91=10, N91+TIME(3,48,0), N91))), "hh:mm"))</f>
        <v/>
      </c>
      <c r="V91" s="5" t="s">
        <v>37</v>
      </c>
      <c r="W91" s="9">
        <f>IF(COUNTIFS($M$2:$M91,M91,$E$2:$E91,E91)=1,1,0)</f>
        <v>0</v>
      </c>
      <c r="X91" s="9">
        <v>132.01859610389613</v>
      </c>
      <c r="Y91" s="10">
        <v>0.59132817056166076</v>
      </c>
      <c r="Z91" s="9" t="str">
        <f>IF(COUNTIF(K$2:K91,K91)=1,SUMIF(K:K,K91,H:H)/SUMIF(K:K,K91,W:W),"")</f>
        <v/>
      </c>
      <c r="AA91" s="9" t="str">
        <f>IF(COUNTIF($M$2:M91,M91)=1, SUMIF(M:M,M91,X:X), "")</f>
        <v/>
      </c>
      <c r="AB91" s="9" t="str">
        <f>IF(COUNTIF($M$2:M91,M91)=1, SUMIF(M:M,M91,Y:Y), "")</f>
        <v/>
      </c>
    </row>
    <row r="92" spans="1:28" x14ac:dyDescent="0.25">
      <c r="A92" s="5">
        <f ca="1">IF(B92="","",COUNTA($B$2:B92))</f>
        <v>91</v>
      </c>
      <c r="B92" s="6">
        <f t="shared" ca="1" si="6"/>
        <v>46191</v>
      </c>
      <c r="C92" s="5" t="s">
        <v>278</v>
      </c>
      <c r="D92" s="5" t="s">
        <v>279</v>
      </c>
      <c r="E92" s="5" t="s">
        <v>276</v>
      </c>
      <c r="F92" s="5" t="s">
        <v>277</v>
      </c>
      <c r="G92" s="5">
        <v>276</v>
      </c>
      <c r="H92" s="7" t="str">
        <f>IF(COUNTIF($M$2:M92,M92)=1,
SUMIFS($G:$G,$M:$M,M92),
"")</f>
        <v/>
      </c>
      <c r="I92" s="7" t="str">
        <f>IF(E92&lt;&gt;E91,SUMIF(E:E,E92,X:X)," ")</f>
        <v xml:space="preserve"> </v>
      </c>
      <c r="J92" s="8" t="str">
        <f>IF(E92&lt;&gt;E91,SUMIF(E:E,E92,Y:Y)," ")</f>
        <v xml:space="preserve"> </v>
      </c>
      <c r="K92" s="5" t="s">
        <v>35</v>
      </c>
      <c r="L92" s="5" t="s">
        <v>273</v>
      </c>
      <c r="O92" s="9" t="str">
        <f>IF(Q92="","",COUNTIFS($M:$M,M92,$W:$W,"1"))</f>
        <v/>
      </c>
      <c r="P92" s="9" t="s">
        <v>28</v>
      </c>
      <c r="R92" s="5" t="s">
        <v>29</v>
      </c>
      <c r="T92" s="9" t="str">
        <f t="shared" si="7"/>
        <v/>
      </c>
      <c r="V92" s="5" t="s">
        <v>37</v>
      </c>
      <c r="W92" s="9">
        <f>IF(COUNTIFS($M$2:$M92,M92,$E$2:$E92,E92)=1,1,0)</f>
        <v>0</v>
      </c>
      <c r="X92" s="9">
        <v>28.607199999999999</v>
      </c>
      <c r="Y92" s="10">
        <v>0.16921490769230768</v>
      </c>
      <c r="Z92" s="9" t="str">
        <f>IF(COUNTIF(K$2:K92,K92)=1,SUMIF(K:K,K92,H:H)/SUMIF(K:K,K92,W:W),"")</f>
        <v/>
      </c>
      <c r="AA92" s="9" t="str">
        <f>IF(COUNTIF($M$2:M92,M92)=1, SUMIF(M:M,M92,X:X), "")</f>
        <v/>
      </c>
      <c r="AB92" s="9" t="str">
        <f>IF(COUNTIF($M$2:M92,M92)=1, SUMIF(M:M,M92,Y:Y), "")</f>
        <v/>
      </c>
    </row>
    <row r="93" spans="1:28" x14ac:dyDescent="0.25">
      <c r="A93" s="5">
        <f ca="1">IF(B93="","",COUNTA($B$2:B93))</f>
        <v>92</v>
      </c>
      <c r="B93" s="6">
        <f t="shared" ca="1" si="6"/>
        <v>46191</v>
      </c>
      <c r="C93" s="5" t="s">
        <v>280</v>
      </c>
      <c r="D93" s="5" t="s">
        <v>281</v>
      </c>
      <c r="E93" s="5" t="s">
        <v>276</v>
      </c>
      <c r="F93" s="5" t="s">
        <v>277</v>
      </c>
      <c r="G93" s="5">
        <v>294</v>
      </c>
      <c r="H93" s="7" t="str">
        <f>IF(COUNTIF($M$2:M93,M93)=1,
SUMIFS($G:$G,$M:$M,M93),
"")</f>
        <v/>
      </c>
      <c r="I93" s="7" t="str">
        <f>IF(E93&lt;&gt;E92,SUMIF(E:E,E93,X:X)," ")</f>
        <v xml:space="preserve"> </v>
      </c>
      <c r="J93" s="8" t="str">
        <f>IF(E93&lt;&gt;E92,SUMIF(E:E,E93,Y:Y)," ")</f>
        <v xml:space="preserve"> </v>
      </c>
      <c r="K93" s="5" t="s">
        <v>35</v>
      </c>
      <c r="L93" s="5" t="s">
        <v>273</v>
      </c>
      <c r="O93" s="9" t="str">
        <f>IF(Q93="","",COUNTIFS($M:$M,M93,$W:$W,"1"))</f>
        <v/>
      </c>
      <c r="P93" s="9" t="s">
        <v>28</v>
      </c>
      <c r="R93" s="5" t="s">
        <v>29</v>
      </c>
      <c r="T93" s="9" t="str">
        <f t="shared" si="7"/>
        <v/>
      </c>
      <c r="V93" s="5" t="s">
        <v>37</v>
      </c>
      <c r="W93" s="9">
        <f>IF(COUNTIFS($M$2:$M93,M93,$E$2:$E93,E93)=1,1,0)</f>
        <v>0</v>
      </c>
      <c r="X93" s="9">
        <v>40.54</v>
      </c>
      <c r="Y93" s="10">
        <v>0.24058433846153843</v>
      </c>
      <c r="Z93" s="9" t="str">
        <f>IF(COUNTIF(K$2:K93,K93)=1,SUMIF(K:K,K93,H:H)/SUMIF(K:K,K93,W:W),"")</f>
        <v/>
      </c>
      <c r="AA93" s="9" t="str">
        <f>IF(COUNTIF($M$2:M93,M93)=1, SUMIF(M:M,M93,X:X), "")</f>
        <v/>
      </c>
      <c r="AB93" s="9" t="str">
        <f>IF(COUNTIF($M$2:M93,M93)=1, SUMIF(M:M,M93,Y:Y), "")</f>
        <v/>
      </c>
    </row>
    <row r="94" spans="1:28" x14ac:dyDescent="0.25">
      <c r="A94" s="5">
        <f ca="1">IF(B94="","",COUNTA($B$2:B94))</f>
        <v>93</v>
      </c>
      <c r="B94" s="6">
        <f t="shared" ca="1" si="6"/>
        <v>46191</v>
      </c>
      <c r="C94" s="5" t="s">
        <v>282</v>
      </c>
      <c r="D94" s="5" t="s">
        <v>283</v>
      </c>
      <c r="E94" s="5" t="s">
        <v>284</v>
      </c>
      <c r="F94" s="5" t="s">
        <v>285</v>
      </c>
      <c r="G94" s="5">
        <v>189</v>
      </c>
      <c r="H94" s="7" t="str">
        <f>IF(COUNTIF($M$2:M94,M94)=1,
SUMIFS($G:$G,$M:$M,M94),
"")</f>
        <v/>
      </c>
      <c r="I94" s="7">
        <f>IF(E94&lt;&gt;E93,SUMIF(E:E,E94,X:X)," ")</f>
        <v>136.25045142857144</v>
      </c>
      <c r="J94" s="8">
        <f>IF(E94&lt;&gt;E93,SUMIF(E:E,E94,Y:Y)," ")</f>
        <v>0.49963961481862773</v>
      </c>
      <c r="K94" s="5" t="s">
        <v>35</v>
      </c>
      <c r="L94" s="5" t="s">
        <v>273</v>
      </c>
      <c r="O94" s="9" t="str">
        <f>IF(Q94="","",COUNTIFS($M:$M,M94,$W:$W,"1"))</f>
        <v/>
      </c>
      <c r="P94" s="9" t="s">
        <v>28</v>
      </c>
      <c r="R94" s="5" t="s">
        <v>29</v>
      </c>
      <c r="T94" s="9" t="str">
        <f t="shared" si="7"/>
        <v/>
      </c>
      <c r="V94" s="5" t="s">
        <v>37</v>
      </c>
      <c r="W94" s="9">
        <f>IF(COUNTIFS($M$2:$M94,M94,$E$2:$E94,E94)=1,1,0)</f>
        <v>0</v>
      </c>
      <c r="X94" s="9">
        <v>77.165651428571437</v>
      </c>
      <c r="Y94" s="10">
        <v>0.26781670520324308</v>
      </c>
      <c r="Z94" s="9" t="str">
        <f>IF(COUNTIF(K$2:K94,K94)=1,SUMIF(K:K,K94,H:H)/SUMIF(K:K,K94,W:W),"")</f>
        <v/>
      </c>
      <c r="AA94" s="9" t="str">
        <f>IF(COUNTIF($M$2:M94,M94)=1, SUMIF(M:M,M94,X:X), "")</f>
        <v/>
      </c>
      <c r="AB94" s="9" t="str">
        <f>IF(COUNTIF($M$2:M94,M94)=1, SUMIF(M:M,M94,Y:Y), "")</f>
        <v/>
      </c>
    </row>
    <row r="95" spans="1:28" x14ac:dyDescent="0.25">
      <c r="A95" s="5">
        <f ca="1">IF(B95="","",COUNTA($B$2:B95))</f>
        <v>94</v>
      </c>
      <c r="B95" s="6">
        <f t="shared" ca="1" si="6"/>
        <v>46191</v>
      </c>
      <c r="C95" s="5" t="s">
        <v>286</v>
      </c>
      <c r="D95" s="5" t="s">
        <v>287</v>
      </c>
      <c r="E95" s="5" t="s">
        <v>284</v>
      </c>
      <c r="F95" s="5" t="s">
        <v>285</v>
      </c>
      <c r="G95" s="5">
        <v>88</v>
      </c>
      <c r="H95" s="7" t="str">
        <f>IF(COUNTIF($M$2:M95,M95)=1,
SUMIFS($G:$G,$M:$M,M95),
"")</f>
        <v/>
      </c>
      <c r="I95" s="7" t="str">
        <f>IF(E95&lt;&gt;E94,SUMIF(E:E,E95,X:X)," ")</f>
        <v xml:space="preserve"> </v>
      </c>
      <c r="J95" s="8" t="str">
        <f>IF(E95&lt;&gt;E94,SUMIF(E:E,E95,Y:Y)," ")</f>
        <v xml:space="preserve"> </v>
      </c>
      <c r="K95" s="5" t="s">
        <v>35</v>
      </c>
      <c r="L95" s="5" t="s">
        <v>273</v>
      </c>
      <c r="O95" s="9" t="str">
        <f>IF(Q95="","",COUNTIFS($M:$M,M95,$W:$W,"1"))</f>
        <v/>
      </c>
      <c r="P95" s="9" t="s">
        <v>28</v>
      </c>
      <c r="R95" s="5" t="s">
        <v>29</v>
      </c>
      <c r="T95" s="9" t="str">
        <f t="shared" si="7"/>
        <v/>
      </c>
      <c r="V95" s="5" t="s">
        <v>37</v>
      </c>
      <c r="W95" s="9">
        <f>IF(COUNTIFS($M$2:$M95,M95,$E$2:$E95,E95)=1,1,0)</f>
        <v>0</v>
      </c>
      <c r="X95" s="9">
        <v>7.8624000000000009</v>
      </c>
      <c r="Y95" s="10">
        <v>4.6621538461538464E-2</v>
      </c>
      <c r="Z95" s="9" t="str">
        <f>IF(COUNTIF(K$2:K95,K95)=1,SUMIF(K:K,K95,H:H)/SUMIF(K:K,K95,W:W),"")</f>
        <v/>
      </c>
      <c r="AA95" s="9" t="str">
        <f>IF(COUNTIF($M$2:M95,M95)=1, SUMIF(M:M,M95,X:X), "")</f>
        <v/>
      </c>
      <c r="AB95" s="9" t="str">
        <f>IF(COUNTIF($M$2:M95,M95)=1, SUMIF(M:M,M95,Y:Y), "")</f>
        <v/>
      </c>
    </row>
    <row r="96" spans="1:28" x14ac:dyDescent="0.25">
      <c r="A96" s="5">
        <f ca="1">IF(B96="","",COUNTA($B$2:B96))</f>
        <v>95</v>
      </c>
      <c r="B96" s="6">
        <f t="shared" ca="1" si="6"/>
        <v>46191</v>
      </c>
      <c r="C96" s="5" t="s">
        <v>288</v>
      </c>
      <c r="D96" s="5" t="s">
        <v>289</v>
      </c>
      <c r="E96" s="5" t="s">
        <v>284</v>
      </c>
      <c r="F96" s="5" t="s">
        <v>285</v>
      </c>
      <c r="G96" s="5">
        <v>218</v>
      </c>
      <c r="H96" s="7" t="str">
        <f>IF(COUNTIF($M$2:M96,M96)=1,
SUMIFS($G:$G,$M:$M,M96),
"")</f>
        <v/>
      </c>
      <c r="I96" s="7" t="str">
        <f>IF(E96&lt;&gt;E95,SUMIF(E:E,E96,X:X)," ")</f>
        <v xml:space="preserve"> </v>
      </c>
      <c r="J96" s="8" t="str">
        <f>IF(E96&lt;&gt;E95,SUMIF(E:E,E96,Y:Y)," ")</f>
        <v xml:space="preserve"> </v>
      </c>
      <c r="K96" s="5" t="s">
        <v>35</v>
      </c>
      <c r="L96" s="5" t="s">
        <v>273</v>
      </c>
      <c r="O96" s="9" t="str">
        <f>IF(Q96="","",COUNTIFS($M:$M,M96,$W:$W,"1"))</f>
        <v/>
      </c>
      <c r="P96" s="9" t="s">
        <v>28</v>
      </c>
      <c r="R96" s="5" t="s">
        <v>29</v>
      </c>
      <c r="T96" s="9" t="str">
        <f t="shared" si="7"/>
        <v/>
      </c>
      <c r="V96" s="5" t="s">
        <v>37</v>
      </c>
      <c r="W96" s="9">
        <f>IF(COUNTIFS($M$2:$M96,M96,$E$2:$E96,E96)=1,1,0)</f>
        <v>0</v>
      </c>
      <c r="X96" s="9">
        <v>51.2224</v>
      </c>
      <c r="Y96" s="10">
        <v>0.18520137115384616</v>
      </c>
      <c r="Z96" s="9" t="str">
        <f>IF(COUNTIF(K$2:K96,K96)=1,SUMIF(K:K,K96,H:H)/SUMIF(K:K,K96,W:W),"")</f>
        <v/>
      </c>
      <c r="AA96" s="9" t="str">
        <f>IF(COUNTIF($M$2:M96,M96)=1, SUMIF(M:M,M96,X:X), "")</f>
        <v/>
      </c>
      <c r="AB96" s="9" t="str">
        <f>IF(COUNTIF($M$2:M96,M96)=1, SUMIF(M:M,M96,Y:Y), "")</f>
        <v/>
      </c>
    </row>
    <row r="97" spans="1:28" x14ac:dyDescent="0.25">
      <c r="A97" s="5">
        <f ca="1">IF(B97="","",COUNTA($B$2:B97))</f>
        <v>96</v>
      </c>
      <c r="B97" s="6">
        <f t="shared" ca="1" si="6"/>
        <v>46191</v>
      </c>
      <c r="C97" s="5" t="s">
        <v>290</v>
      </c>
      <c r="D97" s="5" t="s">
        <v>291</v>
      </c>
      <c r="E97" s="5" t="s">
        <v>292</v>
      </c>
      <c r="F97" s="5" t="s">
        <v>293</v>
      </c>
      <c r="G97" s="5">
        <v>142</v>
      </c>
      <c r="H97" s="7" t="str">
        <f>IF(COUNTIF($M$2:M97,M97)=1,
SUMIFS($G:$G,$M:$M,M97),
"")</f>
        <v/>
      </c>
      <c r="I97" s="7">
        <f>IF(E97&lt;&gt;E96,SUMIF(E:E,E97,X:X)," ")</f>
        <v>104.02755999999999</v>
      </c>
      <c r="J97" s="8">
        <f>IF(E97&lt;&gt;E96,SUMIF(E:E,E97,Y:Y)," ")</f>
        <v>0.41222009352492323</v>
      </c>
      <c r="K97" s="5" t="s">
        <v>35</v>
      </c>
      <c r="L97" s="5" t="s">
        <v>273</v>
      </c>
      <c r="O97" s="9" t="str">
        <f>IF(Q97="","",COUNTIFS($M:$M,M97,$W:$W,"1"))</f>
        <v/>
      </c>
      <c r="P97" s="9" t="s">
        <v>28</v>
      </c>
      <c r="R97" s="5" t="s">
        <v>29</v>
      </c>
      <c r="T97" s="9" t="str">
        <f t="shared" si="7"/>
        <v/>
      </c>
      <c r="V97" s="5" t="s">
        <v>37</v>
      </c>
      <c r="W97" s="9">
        <f>IF(COUNTIFS($M$2:$M97,M97,$E$2:$E97,E97)=1,1,0)</f>
        <v>0</v>
      </c>
      <c r="X97" s="9">
        <v>49.736359999999998</v>
      </c>
      <c r="Y97" s="10">
        <v>0.18510674737107707</v>
      </c>
      <c r="Z97" s="9" t="str">
        <f>IF(COUNTIF(K$2:K97,K97)=1,SUMIF(K:K,K97,H:H)/SUMIF(K:K,K97,W:W),"")</f>
        <v/>
      </c>
      <c r="AA97" s="9" t="str">
        <f>IF(COUNTIF($M$2:M97,M97)=1, SUMIF(M:M,M97,X:X), "")</f>
        <v/>
      </c>
      <c r="AB97" s="9" t="str">
        <f>IF(COUNTIF($M$2:M97,M97)=1, SUMIF(M:M,M97,Y:Y), "")</f>
        <v/>
      </c>
    </row>
    <row r="98" spans="1:28" x14ac:dyDescent="0.25">
      <c r="A98" s="5">
        <f ca="1">IF(B98="","",COUNTA($B$2:B98))</f>
        <v>97</v>
      </c>
      <c r="B98" s="6">
        <f t="shared" ca="1" si="6"/>
        <v>46191</v>
      </c>
      <c r="C98" s="5" t="s">
        <v>294</v>
      </c>
      <c r="D98" s="5" t="s">
        <v>295</v>
      </c>
      <c r="E98" s="5" t="s">
        <v>292</v>
      </c>
      <c r="F98" s="5" t="s">
        <v>293</v>
      </c>
      <c r="G98" s="5">
        <v>24</v>
      </c>
      <c r="H98" s="7" t="str">
        <f>IF(COUNTIF($M$2:M98,M98)=1,
SUMIFS($G:$G,$M:$M,M98),
"")</f>
        <v/>
      </c>
      <c r="I98" s="7" t="str">
        <f>IF(E98&lt;&gt;E97,SUMIF(E:E,E98,X:X)," ")</f>
        <v xml:space="preserve"> </v>
      </c>
      <c r="J98" s="8" t="str">
        <f>IF(E98&lt;&gt;E97,SUMIF(E:E,E98,Y:Y)," ")</f>
        <v xml:space="preserve"> </v>
      </c>
      <c r="K98" s="5" t="s">
        <v>35</v>
      </c>
      <c r="L98" s="5" t="s">
        <v>273</v>
      </c>
      <c r="O98" s="9" t="str">
        <f>IF(Q98="","",COUNTIFS($M:$M,M98,$W:$W,"1"))</f>
        <v/>
      </c>
      <c r="P98" s="9" t="s">
        <v>28</v>
      </c>
      <c r="R98" s="5" t="s">
        <v>29</v>
      </c>
      <c r="T98" s="9" t="str">
        <f t="shared" si="7"/>
        <v/>
      </c>
      <c r="V98" s="5" t="s">
        <v>37</v>
      </c>
      <c r="W98" s="9">
        <f>IF(COUNTIFS($M$2:$M98,M98,$E$2:$E98,E98)=1,1,0)</f>
        <v>0</v>
      </c>
      <c r="X98" s="9">
        <v>1.5312000000000001</v>
      </c>
      <c r="Y98" s="10">
        <v>7.3107692307692318E-3</v>
      </c>
      <c r="Z98" s="9" t="str">
        <f>IF(COUNTIF(K$2:K98,K98)=1,SUMIF(K:K,K98,H:H)/SUMIF(K:K,K98,W:W),"")</f>
        <v/>
      </c>
      <c r="AA98" s="9" t="str">
        <f>IF(COUNTIF($M$2:M98,M98)=1, SUMIF(M:M,M98,X:X), "")</f>
        <v/>
      </c>
      <c r="AB98" s="9" t="str">
        <f>IF(COUNTIF($M$2:M98,M98)=1, SUMIF(M:M,M98,Y:Y), "")</f>
        <v/>
      </c>
    </row>
    <row r="99" spans="1:28" x14ac:dyDescent="0.25">
      <c r="A99" s="5">
        <f ca="1">IF(B99="","",COUNTA($B$2:B99))</f>
        <v>98</v>
      </c>
      <c r="B99" s="6">
        <f t="shared" ca="1" si="6"/>
        <v>46191</v>
      </c>
      <c r="C99" s="5" t="s">
        <v>296</v>
      </c>
      <c r="D99" s="5" t="s">
        <v>297</v>
      </c>
      <c r="E99" s="5" t="s">
        <v>292</v>
      </c>
      <c r="F99" s="5" t="s">
        <v>293</v>
      </c>
      <c r="G99" s="5">
        <v>220</v>
      </c>
      <c r="H99" s="7" t="str">
        <f>IF(COUNTIF($M$2:M99,M99)=1,
SUMIFS($G:$G,$M:$M,M99),
"")</f>
        <v/>
      </c>
      <c r="I99" s="7" t="str">
        <f>IF(E99&lt;&gt;E98,SUMIF(E:E,E99,X:X)," ")</f>
        <v xml:space="preserve"> </v>
      </c>
      <c r="J99" s="8" t="str">
        <f>IF(E99&lt;&gt;E98,SUMIF(E:E,E99,Y:Y)," ")</f>
        <v xml:space="preserve"> </v>
      </c>
      <c r="K99" s="5" t="s">
        <v>35</v>
      </c>
      <c r="L99" s="5" t="s">
        <v>273</v>
      </c>
      <c r="O99" s="9" t="str">
        <f>IF(Q99="","",COUNTIFS($M:$M,M99,$W:$W,"1"))</f>
        <v/>
      </c>
      <c r="P99" s="9" t="s">
        <v>28</v>
      </c>
      <c r="R99" s="5" t="s">
        <v>29</v>
      </c>
      <c r="T99" s="9" t="str">
        <f t="shared" si="7"/>
        <v/>
      </c>
      <c r="V99" s="5" t="s">
        <v>37</v>
      </c>
      <c r="W99" s="9">
        <f>IF(COUNTIFS($M$2:$M99,M99,$E$2:$E99,E99)=1,1,0)</f>
        <v>0</v>
      </c>
      <c r="X99" s="9">
        <v>52.76</v>
      </c>
      <c r="Y99" s="10">
        <v>0.21980257692307692</v>
      </c>
      <c r="Z99" s="9" t="str">
        <f>IF(COUNTIF(K$2:K99,K99)=1,SUMIF(K:K,K99,H:H)/SUMIF(K:K,K99,W:W),"")</f>
        <v/>
      </c>
      <c r="AA99" s="9" t="str">
        <f>IF(COUNTIF($M$2:M99,M99)=1, SUMIF(M:M,M99,X:X), "")</f>
        <v/>
      </c>
      <c r="AB99" s="9" t="str">
        <f>IF(COUNTIF($M$2:M99,M99)=1, SUMIF(M:M,M99,Y:Y), "")</f>
        <v/>
      </c>
    </row>
    <row r="100" spans="1:28" x14ac:dyDescent="0.25">
      <c r="A100" s="5">
        <f ca="1">IF(B100="","",COUNTA($B$2:B100))</f>
        <v>99</v>
      </c>
      <c r="B100" s="6">
        <f t="shared" ca="1" si="6"/>
        <v>46191</v>
      </c>
      <c r="C100" s="5" t="s">
        <v>298</v>
      </c>
      <c r="D100" s="5" t="s">
        <v>299</v>
      </c>
      <c r="E100" s="5" t="s">
        <v>300</v>
      </c>
      <c r="F100" s="5" t="s">
        <v>301</v>
      </c>
      <c r="G100" s="5">
        <v>112</v>
      </c>
      <c r="H100" s="7" t="str">
        <f>IF(COUNTIF($M$2:M100,M100)=1,
SUMIFS($G:$G,$M:$M,M100),
"")</f>
        <v/>
      </c>
      <c r="I100" s="7">
        <f>IF(E100&lt;&gt;E99,SUMIF(E:E,E100,X:X)," ")</f>
        <v>101.72699999999999</v>
      </c>
      <c r="J100" s="8">
        <f>IF(E100&lt;&gt;E99,SUMIF(E:E,E100,Y:Y)," ")</f>
        <v>0.42100419354700858</v>
      </c>
      <c r="K100" s="5" t="s">
        <v>35</v>
      </c>
      <c r="L100" s="5" t="s">
        <v>273</v>
      </c>
      <c r="O100" s="9" t="str">
        <f>IF(Q100="","",COUNTIFS($M:$M,M100,$W:$W,"1"))</f>
        <v/>
      </c>
      <c r="P100" s="9" t="s">
        <v>28</v>
      </c>
      <c r="R100" s="5" t="s">
        <v>29</v>
      </c>
      <c r="T100" s="9" t="str">
        <f t="shared" si="7"/>
        <v/>
      </c>
      <c r="V100" s="5" t="s">
        <v>37</v>
      </c>
      <c r="W100" s="9">
        <f>IF(COUNTIFS($M$2:$M100,M100,$E$2:$E100,E100)=1,1,0)</f>
        <v>0</v>
      </c>
      <c r="X100" s="9">
        <v>61.466999999999992</v>
      </c>
      <c r="Y100" s="10">
        <v>0.29288183777777776</v>
      </c>
      <c r="Z100" s="9" t="str">
        <f>IF(COUNTIF(K$2:K100,K100)=1,SUMIF(K:K,K100,H:H)/SUMIF(K:K,K100,W:W),"")</f>
        <v/>
      </c>
      <c r="AA100" s="9" t="str">
        <f>IF(COUNTIF($M$2:M100,M100)=1, SUMIF(M:M,M100,X:X), "")</f>
        <v/>
      </c>
      <c r="AB100" s="9" t="str">
        <f>IF(COUNTIF($M$2:M100,M100)=1, SUMIF(M:M,M100,Y:Y), "")</f>
        <v/>
      </c>
    </row>
    <row r="101" spans="1:28" x14ac:dyDescent="0.25">
      <c r="A101" s="5">
        <f ca="1">IF(B101="","",COUNTA($B$2:B101))</f>
        <v>100</v>
      </c>
      <c r="B101" s="6">
        <f t="shared" ref="B101:B140" ca="1" si="8">TODAY()+1</f>
        <v>46191</v>
      </c>
      <c r="C101" s="5" t="s">
        <v>302</v>
      </c>
      <c r="D101" s="5" t="s">
        <v>303</v>
      </c>
      <c r="E101" s="5" t="s">
        <v>300</v>
      </c>
      <c r="F101" s="5" t="s">
        <v>301</v>
      </c>
      <c r="G101" s="5">
        <v>190</v>
      </c>
      <c r="H101" s="7" t="str">
        <f>IF(COUNTIF($M$2:M101,M101)=1,
SUMIFS($G:$G,$M:$M,M101),
"")</f>
        <v/>
      </c>
      <c r="I101" s="7" t="str">
        <f>IF(E101&lt;&gt;E100,SUMIF(E:E,E101,X:X)," ")</f>
        <v xml:space="preserve"> </v>
      </c>
      <c r="J101" s="8" t="str">
        <f>IF(E101&lt;&gt;E100,SUMIF(E:E,E101,Y:Y)," ")</f>
        <v xml:space="preserve"> </v>
      </c>
      <c r="K101" s="5" t="s">
        <v>35</v>
      </c>
      <c r="L101" s="5" t="s">
        <v>273</v>
      </c>
      <c r="O101" s="9" t="str">
        <f>IF(Q101="","",COUNTIFS($M:$M,M101,$W:$W,"1"))</f>
        <v/>
      </c>
      <c r="P101" s="9" t="s">
        <v>28</v>
      </c>
      <c r="R101" s="5" t="s">
        <v>29</v>
      </c>
      <c r="T101" s="9" t="str">
        <f t="shared" ref="T101:T140" si="9">IF(OR(Q101="", M101="", N101=""), "", "LOT SAU KHOẢNG " &amp; TEXT(IF(Q101=5, N101+TIME(2,0,0), IF(OR(Q101=7, Q101=8), N101+TIME(2,48,0), IF(Q101=10, N101+TIME(3,48,0), N101))), "hh:mm"))</f>
        <v/>
      </c>
      <c r="V101" s="5" t="s">
        <v>37</v>
      </c>
      <c r="W101" s="9">
        <f>IF(COUNTIFS($M$2:$M101,M101,$E$2:$E101,E101)=1,1,0)</f>
        <v>0</v>
      </c>
      <c r="X101" s="9">
        <v>40.26</v>
      </c>
      <c r="Y101" s="10">
        <v>0.12812235576923078</v>
      </c>
      <c r="Z101" s="9" t="str">
        <f>IF(COUNTIF(K$2:K101,K101)=1,SUMIF(K:K,K101,H:H)/SUMIF(K:K,K101,W:W),"")</f>
        <v/>
      </c>
      <c r="AA101" s="9" t="str">
        <f>IF(COUNTIF($M$2:M101,M101)=1, SUMIF(M:M,M101,X:X), "")</f>
        <v/>
      </c>
      <c r="AB101" s="9" t="str">
        <f>IF(COUNTIF($M$2:M101,M101)=1, SUMIF(M:M,M101,Y:Y), "")</f>
        <v/>
      </c>
    </row>
    <row r="102" spans="1:28" x14ac:dyDescent="0.25">
      <c r="A102" s="5">
        <f ca="1">IF(B102="","",COUNTA($B$2:B102))</f>
        <v>101</v>
      </c>
      <c r="B102" s="6">
        <f t="shared" ca="1" si="8"/>
        <v>46191</v>
      </c>
      <c r="C102" s="5" t="s">
        <v>304</v>
      </c>
      <c r="D102" s="5" t="s">
        <v>305</v>
      </c>
      <c r="E102" s="5" t="s">
        <v>306</v>
      </c>
      <c r="F102" s="5" t="s">
        <v>307</v>
      </c>
      <c r="G102" s="5">
        <v>164</v>
      </c>
      <c r="H102" s="7" t="str">
        <f>IF(COUNTIF($M$2:M102,M102)=1,
SUMIFS($G:$G,$M:$M,M102),
"")</f>
        <v/>
      </c>
      <c r="I102" s="7">
        <f>IF(E102&lt;&gt;E101,SUMIF(E:E,E102,X:X)," ")</f>
        <v>119.77006666666665</v>
      </c>
      <c r="J102" s="8">
        <f>IF(E102&lt;&gt;E101,SUMIF(E:E,E102,Y:Y)," ")</f>
        <v>0.5203440514559875</v>
      </c>
      <c r="K102" s="5" t="s">
        <v>35</v>
      </c>
      <c r="L102" s="5" t="s">
        <v>273</v>
      </c>
      <c r="O102" s="9" t="str">
        <f>IF(Q102="","",COUNTIFS($M:$M,M102,$W:$W,"1"))</f>
        <v/>
      </c>
      <c r="P102" s="9" t="s">
        <v>28</v>
      </c>
      <c r="R102" s="5" t="s">
        <v>29</v>
      </c>
      <c r="T102" s="9" t="str">
        <f t="shared" si="9"/>
        <v/>
      </c>
      <c r="V102" s="5" t="s">
        <v>37</v>
      </c>
      <c r="W102" s="9">
        <f>IF(COUNTIFS($M$2:$M102,M102,$E$2:$E102,E102)=1,1,0)</f>
        <v>0</v>
      </c>
      <c r="X102" s="9">
        <v>65.230066666666659</v>
      </c>
      <c r="Y102" s="10">
        <v>0.31311153414829518</v>
      </c>
      <c r="Z102" s="9" t="str">
        <f>IF(COUNTIF(K$2:K102,K102)=1,SUMIF(K:K,K102,H:H)/SUMIF(K:K,K102,W:W),"")</f>
        <v/>
      </c>
      <c r="AA102" s="9" t="str">
        <f>IF(COUNTIF($M$2:M102,M102)=1, SUMIF(M:M,M102,X:X), "")</f>
        <v/>
      </c>
      <c r="AB102" s="9" t="str">
        <f>IF(COUNTIF($M$2:M102,M102)=1, SUMIF(M:M,M102,Y:Y), "")</f>
        <v/>
      </c>
    </row>
    <row r="103" spans="1:28" x14ac:dyDescent="0.25">
      <c r="A103" s="5">
        <f ca="1">IF(B103="","",COUNTA($B$2:B103))</f>
        <v>102</v>
      </c>
      <c r="B103" s="6">
        <f t="shared" ca="1" si="8"/>
        <v>46191</v>
      </c>
      <c r="C103" s="5" t="s">
        <v>308</v>
      </c>
      <c r="D103" s="5" t="s">
        <v>309</v>
      </c>
      <c r="E103" s="5" t="s">
        <v>306</v>
      </c>
      <c r="F103" s="5" t="s">
        <v>307</v>
      </c>
      <c r="G103" s="5">
        <v>120</v>
      </c>
      <c r="H103" s="7" t="str">
        <f>IF(COUNTIF($M$2:M103,M103)=1,
SUMIFS($G:$G,$M:$M,M103),
"")</f>
        <v/>
      </c>
      <c r="I103" s="7" t="str">
        <f>IF(E103&lt;&gt;E102,SUMIF(E:E,E103,X:X)," ")</f>
        <v xml:space="preserve"> </v>
      </c>
      <c r="J103" s="8" t="str">
        <f>IF(E103&lt;&gt;E102,SUMIF(E:E,E103,Y:Y)," ")</f>
        <v xml:space="preserve"> </v>
      </c>
      <c r="K103" s="5" t="s">
        <v>35</v>
      </c>
      <c r="L103" s="5" t="s">
        <v>273</v>
      </c>
      <c r="O103" s="9" t="str">
        <f>IF(Q103="","",COUNTIFS($M:$M,M103,$W:$W,"1"))</f>
        <v/>
      </c>
      <c r="P103" s="9" t="s">
        <v>28</v>
      </c>
      <c r="R103" s="5" t="s">
        <v>29</v>
      </c>
      <c r="T103" s="9" t="str">
        <f t="shared" si="9"/>
        <v/>
      </c>
      <c r="V103" s="5" t="s">
        <v>37</v>
      </c>
      <c r="W103" s="9">
        <f>IF(COUNTIFS($M$2:$M103,M103,$E$2:$E103,E103)=1,1,0)</f>
        <v>0</v>
      </c>
      <c r="X103" s="9">
        <v>12.440000000000001</v>
      </c>
      <c r="Y103" s="10">
        <v>7.8492000000000006E-2</v>
      </c>
      <c r="Z103" s="9" t="str">
        <f>IF(COUNTIF(K$2:K103,K103)=1,SUMIF(K:K,K103,H:H)/SUMIF(K:K,K103,W:W),"")</f>
        <v/>
      </c>
      <c r="AA103" s="9" t="str">
        <f>IF(COUNTIF($M$2:M103,M103)=1, SUMIF(M:M,M103,X:X), "")</f>
        <v/>
      </c>
      <c r="AB103" s="9" t="str">
        <f>IF(COUNTIF($M$2:M103,M103)=1, SUMIF(M:M,M103,Y:Y), "")</f>
        <v/>
      </c>
    </row>
    <row r="104" spans="1:28" x14ac:dyDescent="0.25">
      <c r="A104" s="5">
        <f ca="1">IF(B104="","",COUNTA($B$2:B104))</f>
        <v>103</v>
      </c>
      <c r="B104" s="6">
        <f t="shared" ca="1" si="8"/>
        <v>46191</v>
      </c>
      <c r="C104" s="5" t="s">
        <v>310</v>
      </c>
      <c r="D104" s="5" t="s">
        <v>311</v>
      </c>
      <c r="E104" s="5" t="s">
        <v>306</v>
      </c>
      <c r="F104" s="5" t="s">
        <v>307</v>
      </c>
      <c r="G104" s="5">
        <v>200</v>
      </c>
      <c r="H104" s="7" t="str">
        <f>IF(COUNTIF($M$2:M104,M104)=1,
SUMIFS($G:$G,$M:$M,M104),
"")</f>
        <v/>
      </c>
      <c r="I104" s="7" t="str">
        <f>IF(E104&lt;&gt;E103,SUMIF(E:E,E104,X:X)," ")</f>
        <v xml:space="preserve"> </v>
      </c>
      <c r="J104" s="8" t="str">
        <f>IF(E104&lt;&gt;E103,SUMIF(E:E,E104,Y:Y)," ")</f>
        <v xml:space="preserve"> </v>
      </c>
      <c r="K104" s="5" t="s">
        <v>35</v>
      </c>
      <c r="L104" s="5" t="s">
        <v>273</v>
      </c>
      <c r="O104" s="9" t="str">
        <f>IF(Q104="","",COUNTIFS($M:$M,M104,$W:$W,"1"))</f>
        <v/>
      </c>
      <c r="P104" s="9" t="s">
        <v>28</v>
      </c>
      <c r="R104" s="5" t="s">
        <v>29</v>
      </c>
      <c r="T104" s="9" t="str">
        <f t="shared" si="9"/>
        <v/>
      </c>
      <c r="V104" s="5" t="s">
        <v>37</v>
      </c>
      <c r="W104" s="9">
        <f>IF(COUNTIFS($M$2:$M104,M104,$E$2:$E104,E104)=1,1,0)</f>
        <v>0</v>
      </c>
      <c r="X104" s="9">
        <v>42.1</v>
      </c>
      <c r="Y104" s="10">
        <v>0.12874051730769231</v>
      </c>
      <c r="Z104" s="9" t="str">
        <f>IF(COUNTIF(K$2:K104,K104)=1,SUMIF(K:K,K104,H:H)/SUMIF(K:K,K104,W:W),"")</f>
        <v/>
      </c>
      <c r="AA104" s="9" t="str">
        <f>IF(COUNTIF($M$2:M104,M104)=1, SUMIF(M:M,M104,X:X), "")</f>
        <v/>
      </c>
      <c r="AB104" s="9" t="str">
        <f>IF(COUNTIF($M$2:M104,M104)=1, SUMIF(M:M,M104,Y:Y), "")</f>
        <v/>
      </c>
    </row>
    <row r="105" spans="1:28" x14ac:dyDescent="0.25">
      <c r="A105" s="5">
        <f ca="1">IF(B105="","",COUNTA($B$2:B105))</f>
        <v>104</v>
      </c>
      <c r="B105" s="6">
        <f t="shared" ca="1" si="8"/>
        <v>46191</v>
      </c>
      <c r="C105" s="5" t="s">
        <v>312</v>
      </c>
      <c r="D105" s="5" t="s">
        <v>313</v>
      </c>
      <c r="E105" s="5" t="s">
        <v>314</v>
      </c>
      <c r="F105" s="5" t="s">
        <v>315</v>
      </c>
      <c r="G105" s="5">
        <v>136</v>
      </c>
      <c r="H105" s="7" t="str">
        <f>IF(COUNTIF($M$2:M105,M105)=1,
SUMIFS($G:$G,$M:$M,M105),
"")</f>
        <v/>
      </c>
      <c r="I105" s="7">
        <f>IF(E105&lt;&gt;E104,SUMIF(E:E,E105,X:X)," ")</f>
        <v>116.18270000000001</v>
      </c>
      <c r="J105" s="8">
        <f>IF(E105&lt;&gt;E104,SUMIF(E:E,E105,Y:Y)," ")</f>
        <v>0.42834250602564106</v>
      </c>
      <c r="K105" s="5" t="s">
        <v>35</v>
      </c>
      <c r="L105" s="5" t="s">
        <v>273</v>
      </c>
      <c r="O105" s="9" t="str">
        <f>IF(Q105="","",COUNTIFS($M:$M,M105,$W:$W,"1"))</f>
        <v/>
      </c>
      <c r="P105" s="9" t="s">
        <v>28</v>
      </c>
      <c r="R105" s="5" t="s">
        <v>29</v>
      </c>
      <c r="T105" s="9" t="str">
        <f t="shared" si="9"/>
        <v/>
      </c>
      <c r="V105" s="5" t="s">
        <v>37</v>
      </c>
      <c r="W105" s="9">
        <f>IF(COUNTIFS($M$2:$M105,M105,$E$2:$E105,E105)=1,1,0)</f>
        <v>0</v>
      </c>
      <c r="X105" s="9">
        <v>76.102700000000013</v>
      </c>
      <c r="Y105" s="10">
        <v>0.30389493679487178</v>
      </c>
      <c r="Z105" s="9" t="str">
        <f>IF(COUNTIF(K$2:K105,K105)=1,SUMIF(K:K,K105,H:H)/SUMIF(K:K,K105,W:W),"")</f>
        <v/>
      </c>
      <c r="AA105" s="9" t="str">
        <f>IF(COUNTIF($M$2:M105,M105)=1, SUMIF(M:M,M105,X:X), "")</f>
        <v/>
      </c>
      <c r="AB105" s="9" t="str">
        <f>IF(COUNTIF($M$2:M105,M105)=1, SUMIF(M:M,M105,Y:Y), "")</f>
        <v/>
      </c>
    </row>
    <row r="106" spans="1:28" x14ac:dyDescent="0.25">
      <c r="A106" s="5">
        <f ca="1">IF(B106="","",COUNTA($B$2:B106))</f>
        <v>105</v>
      </c>
      <c r="B106" s="6">
        <f t="shared" ca="1" si="8"/>
        <v>46191</v>
      </c>
      <c r="C106" s="5" t="s">
        <v>316</v>
      </c>
      <c r="D106" s="5" t="s">
        <v>317</v>
      </c>
      <c r="E106" s="5" t="s">
        <v>314</v>
      </c>
      <c r="F106" s="5" t="s">
        <v>315</v>
      </c>
      <c r="G106" s="5">
        <v>60</v>
      </c>
      <c r="H106" s="7" t="str">
        <f>IF(COUNTIF($M$2:M106,M106)=1,
SUMIFS($G:$G,$M:$M,M106),
"")</f>
        <v/>
      </c>
      <c r="I106" s="7" t="str">
        <f>IF(E106&lt;&gt;E105,SUMIF(E:E,E106,X:X)," ")</f>
        <v xml:space="preserve"> </v>
      </c>
      <c r="J106" s="8" t="str">
        <f>IF(E106&lt;&gt;E105,SUMIF(E:E,E106,Y:Y)," ")</f>
        <v xml:space="preserve"> </v>
      </c>
      <c r="K106" s="5" t="s">
        <v>35</v>
      </c>
      <c r="L106" s="5" t="s">
        <v>273</v>
      </c>
      <c r="O106" s="9" t="str">
        <f>IF(Q106="","",COUNTIFS($M:$M,M106,$W:$W,"1"))</f>
        <v/>
      </c>
      <c r="P106" s="9" t="s">
        <v>28</v>
      </c>
      <c r="R106" s="5" t="s">
        <v>29</v>
      </c>
      <c r="T106" s="9" t="str">
        <f t="shared" si="9"/>
        <v/>
      </c>
      <c r="V106" s="5" t="s">
        <v>37</v>
      </c>
      <c r="W106" s="9">
        <f>IF(COUNTIFS($M$2:$M106,M106,$E$2:$E106,E106)=1,1,0)</f>
        <v>0</v>
      </c>
      <c r="X106" s="9">
        <v>5.28</v>
      </c>
      <c r="Y106" s="10">
        <v>3.1984615384615389E-2</v>
      </c>
      <c r="Z106" s="9" t="str">
        <f>IF(COUNTIF(K$2:K106,K106)=1,SUMIF(K:K,K106,H:H)/SUMIF(K:K,K106,W:W),"")</f>
        <v/>
      </c>
      <c r="AA106" s="9" t="str">
        <f>IF(COUNTIF($M$2:M106,M106)=1, SUMIF(M:M,M106,X:X), "")</f>
        <v/>
      </c>
      <c r="AB106" s="9" t="str">
        <f>IF(COUNTIF($M$2:M106,M106)=1, SUMIF(M:M,M106,Y:Y), "")</f>
        <v/>
      </c>
    </row>
    <row r="107" spans="1:28" x14ac:dyDescent="0.25">
      <c r="A107" s="5">
        <f ca="1">IF(B107="","",COUNTA($B$2:B107))</f>
        <v>106</v>
      </c>
      <c r="B107" s="6">
        <f t="shared" ca="1" si="8"/>
        <v>46191</v>
      </c>
      <c r="C107" s="5" t="s">
        <v>318</v>
      </c>
      <c r="D107" s="5" t="s">
        <v>319</v>
      </c>
      <c r="E107" s="5" t="s">
        <v>314</v>
      </c>
      <c r="F107" s="5" t="s">
        <v>315</v>
      </c>
      <c r="G107" s="5">
        <v>140</v>
      </c>
      <c r="H107" s="7" t="str">
        <f>IF(COUNTIF($M$2:M107,M107)=1,
SUMIFS($G:$G,$M:$M,M107),
"")</f>
        <v/>
      </c>
      <c r="I107" s="7" t="str">
        <f>IF(E107&lt;&gt;E106,SUMIF(E:E,E107,X:X)," ")</f>
        <v xml:space="preserve"> </v>
      </c>
      <c r="J107" s="8" t="str">
        <f>IF(E107&lt;&gt;E106,SUMIF(E:E,E107,Y:Y)," ")</f>
        <v xml:space="preserve"> </v>
      </c>
      <c r="K107" s="5" t="s">
        <v>35</v>
      </c>
      <c r="L107" s="5" t="s">
        <v>273</v>
      </c>
      <c r="O107" s="9" t="str">
        <f>IF(Q107="","",COUNTIFS($M:$M,M107,$W:$W,"1"))</f>
        <v/>
      </c>
      <c r="P107" s="9" t="s">
        <v>28</v>
      </c>
      <c r="R107" s="5" t="s">
        <v>29</v>
      </c>
      <c r="T107" s="9" t="str">
        <f t="shared" si="9"/>
        <v/>
      </c>
      <c r="V107" s="5" t="s">
        <v>37</v>
      </c>
      <c r="W107" s="9">
        <f>IF(COUNTIFS($M$2:$M107,M107,$E$2:$E107,E107)=1,1,0)</f>
        <v>0</v>
      </c>
      <c r="X107" s="9">
        <v>34.799999999999997</v>
      </c>
      <c r="Y107" s="10">
        <v>9.2462953846153856E-2</v>
      </c>
      <c r="Z107" s="9" t="str">
        <f>IF(COUNTIF(K$2:K107,K107)=1,SUMIF(K:K,K107,H:H)/SUMIF(K:K,K107,W:W),"")</f>
        <v/>
      </c>
      <c r="AA107" s="9" t="str">
        <f>IF(COUNTIF($M$2:M107,M107)=1, SUMIF(M:M,M107,X:X), "")</f>
        <v/>
      </c>
      <c r="AB107" s="9" t="str">
        <f>IF(COUNTIF($M$2:M107,M107)=1, SUMIF(M:M,M107,Y:Y), "")</f>
        <v/>
      </c>
    </row>
    <row r="108" spans="1:28" x14ac:dyDescent="0.25">
      <c r="A108" s="5">
        <f ca="1">IF(B108="","",COUNTA($B$2:B108))</f>
        <v>107</v>
      </c>
      <c r="B108" s="6">
        <f t="shared" ca="1" si="8"/>
        <v>46191</v>
      </c>
      <c r="C108" s="5" t="s">
        <v>320</v>
      </c>
      <c r="D108" s="5" t="s">
        <v>321</v>
      </c>
      <c r="E108" s="5" t="s">
        <v>322</v>
      </c>
      <c r="F108" s="5" t="s">
        <v>323</v>
      </c>
      <c r="G108" s="5">
        <v>161</v>
      </c>
      <c r="H108" s="7" t="str">
        <f>IF(COUNTIF($M$2:M108,M108)=1,
SUMIFS($G:$G,$M:$M,M108),
"")</f>
        <v/>
      </c>
      <c r="I108" s="7">
        <f>IF(E108&lt;&gt;E107,SUMIF(E:E,E108,X:X)," ")</f>
        <v>119.05168952380953</v>
      </c>
      <c r="J108" s="8">
        <f>IF(E108&lt;&gt;E107,SUMIF(E:E,E108,Y:Y)," ")</f>
        <v>0.60441113918851763</v>
      </c>
      <c r="K108" s="5" t="s">
        <v>35</v>
      </c>
      <c r="L108" s="5" t="s">
        <v>273</v>
      </c>
      <c r="O108" s="9" t="str">
        <f>IF(Q108="","",COUNTIFS($M:$M,M108,$W:$W,"1"))</f>
        <v/>
      </c>
      <c r="P108" s="9" t="s">
        <v>28</v>
      </c>
      <c r="R108" s="5" t="s">
        <v>29</v>
      </c>
      <c r="T108" s="9" t="str">
        <f t="shared" si="9"/>
        <v/>
      </c>
      <c r="V108" s="5" t="s">
        <v>37</v>
      </c>
      <c r="W108" s="9">
        <f>IF(COUNTIFS($M$2:$M108,M108,$E$2:$E108,E108)=1,1,0)</f>
        <v>0</v>
      </c>
      <c r="X108" s="9">
        <v>49.687689523809524</v>
      </c>
      <c r="Y108" s="10">
        <v>0.28539241418851763</v>
      </c>
      <c r="Z108" s="9" t="str">
        <f>IF(COUNTIF(K$2:K108,K108)=1,SUMIF(K:K,K108,H:H)/SUMIF(K:K,K108,W:W),"")</f>
        <v/>
      </c>
      <c r="AA108" s="9" t="str">
        <f>IF(COUNTIF($M$2:M108,M108)=1, SUMIF(M:M,M108,X:X), "")</f>
        <v/>
      </c>
      <c r="AB108" s="9" t="str">
        <f>IF(COUNTIF($M$2:M108,M108)=1, SUMIF(M:M,M108,Y:Y), "")</f>
        <v/>
      </c>
    </row>
    <row r="109" spans="1:28" x14ac:dyDescent="0.25">
      <c r="A109" s="5">
        <f ca="1">IF(B109="","",COUNTA($B$2:B109))</f>
        <v>108</v>
      </c>
      <c r="B109" s="6">
        <f t="shared" ca="1" si="8"/>
        <v>46191</v>
      </c>
      <c r="C109" s="5" t="s">
        <v>324</v>
      </c>
      <c r="D109" s="5" t="s">
        <v>325</v>
      </c>
      <c r="E109" s="5" t="s">
        <v>322</v>
      </c>
      <c r="F109" s="5" t="s">
        <v>323</v>
      </c>
      <c r="G109" s="5">
        <v>30</v>
      </c>
      <c r="H109" s="7" t="str">
        <f>IF(COUNTIF($M$2:M109,M109)=1,
SUMIFS($G:$G,$M:$M,M109),
"")</f>
        <v/>
      </c>
      <c r="I109" s="7" t="str">
        <f>IF(E109&lt;&gt;E108,SUMIF(E:E,E109,X:X)," ")</f>
        <v xml:space="preserve"> </v>
      </c>
      <c r="J109" s="8" t="str">
        <f>IF(E109&lt;&gt;E108,SUMIF(E:E,E109,Y:Y)," ")</f>
        <v xml:space="preserve"> </v>
      </c>
      <c r="K109" s="5" t="s">
        <v>35</v>
      </c>
      <c r="L109" s="5" t="s">
        <v>273</v>
      </c>
      <c r="O109" s="9" t="str">
        <f>IF(Q109="","",COUNTIFS($M:$M,M109,$W:$W,"1"))</f>
        <v/>
      </c>
      <c r="P109" s="9" t="s">
        <v>28</v>
      </c>
      <c r="R109" s="5" t="s">
        <v>29</v>
      </c>
      <c r="T109" s="9" t="str">
        <f t="shared" si="9"/>
        <v/>
      </c>
      <c r="V109" s="5" t="s">
        <v>37</v>
      </c>
      <c r="W109" s="9">
        <f>IF(COUNTIFS($M$2:$M109,M109,$E$2:$E109,E109)=1,1,0)</f>
        <v>0</v>
      </c>
      <c r="X109" s="9">
        <v>2.6</v>
      </c>
      <c r="Y109" s="10">
        <v>1.4499692307692304E-2</v>
      </c>
      <c r="Z109" s="9" t="str">
        <f>IF(COUNTIF(K$2:K109,K109)=1,SUMIF(K:K,K109,H:H)/SUMIF(K:K,K109,W:W),"")</f>
        <v/>
      </c>
      <c r="AA109" s="9" t="str">
        <f>IF(COUNTIF($M$2:M109,M109)=1, SUMIF(M:M,M109,X:X), "")</f>
        <v/>
      </c>
      <c r="AB109" s="9" t="str">
        <f>IF(COUNTIF($M$2:M109,M109)=1, SUMIF(M:M,M109,Y:Y), "")</f>
        <v/>
      </c>
    </row>
    <row r="110" spans="1:28" x14ac:dyDescent="0.25">
      <c r="A110" s="5">
        <f ca="1">IF(B110="","",COUNTA($B$2:B110))</f>
        <v>109</v>
      </c>
      <c r="B110" s="6">
        <f t="shared" ca="1" si="8"/>
        <v>46191</v>
      </c>
      <c r="C110" s="5" t="s">
        <v>326</v>
      </c>
      <c r="D110" s="5" t="s">
        <v>327</v>
      </c>
      <c r="E110" s="5" t="s">
        <v>322</v>
      </c>
      <c r="F110" s="5" t="s">
        <v>323</v>
      </c>
      <c r="G110" s="5">
        <v>260</v>
      </c>
      <c r="H110" s="7" t="str">
        <f>IF(COUNTIF($M$2:M110,M110)=1,
SUMIFS($G:$G,$M:$M,M110),
"")</f>
        <v/>
      </c>
      <c r="I110" s="7" t="str">
        <f>IF(E110&lt;&gt;E109,SUMIF(E:E,E110,X:X)," ")</f>
        <v xml:space="preserve"> </v>
      </c>
      <c r="J110" s="8" t="str">
        <f>IF(E110&lt;&gt;E109,SUMIF(E:E,E110,Y:Y)," ")</f>
        <v xml:space="preserve"> </v>
      </c>
      <c r="K110" s="5" t="s">
        <v>35</v>
      </c>
      <c r="L110" s="5" t="s">
        <v>273</v>
      </c>
      <c r="O110" s="9" t="str">
        <f>IF(Q110="","",COUNTIFS($M:$M,M110,$W:$W,"1"))</f>
        <v/>
      </c>
      <c r="P110" s="9" t="s">
        <v>28</v>
      </c>
      <c r="R110" s="5" t="s">
        <v>29</v>
      </c>
      <c r="T110" s="9" t="str">
        <f t="shared" si="9"/>
        <v/>
      </c>
      <c r="V110" s="5" t="s">
        <v>37</v>
      </c>
      <c r="W110" s="9">
        <f>IF(COUNTIFS($M$2:$M110,M110,$E$2:$E110,E110)=1,1,0)</f>
        <v>0</v>
      </c>
      <c r="X110" s="9">
        <v>66.763999999999996</v>
      </c>
      <c r="Y110" s="10">
        <v>0.30451903269230768</v>
      </c>
      <c r="Z110" s="9" t="str">
        <f>IF(COUNTIF(K$2:K110,K110)=1,SUMIF(K:K,K110,H:H)/SUMIF(K:K,K110,W:W),"")</f>
        <v/>
      </c>
      <c r="AA110" s="9" t="str">
        <f>IF(COUNTIF($M$2:M110,M110)=1, SUMIF(M:M,M110,X:X), "")</f>
        <v/>
      </c>
      <c r="AB110" s="9" t="str">
        <f>IF(COUNTIF($M$2:M110,M110)=1, SUMIF(M:M,M110,Y:Y), "")</f>
        <v/>
      </c>
    </row>
    <row r="111" spans="1:28" x14ac:dyDescent="0.25">
      <c r="A111" s="5">
        <f ca="1">IF(B111="","",COUNTA($B$2:B111))</f>
        <v>110</v>
      </c>
      <c r="B111" s="6">
        <f t="shared" ca="1" si="8"/>
        <v>46191</v>
      </c>
      <c r="C111" s="5" t="s">
        <v>328</v>
      </c>
      <c r="D111" s="5" t="s">
        <v>329</v>
      </c>
      <c r="E111" s="5" t="s">
        <v>330</v>
      </c>
      <c r="F111" s="5" t="s">
        <v>331</v>
      </c>
      <c r="G111" s="5">
        <v>282</v>
      </c>
      <c r="H111" s="7" t="str">
        <f>IF(COUNTIF($M$2:M111,M111)=1,
SUMIFS($G:$G,$M:$M,M111),
"")</f>
        <v/>
      </c>
      <c r="I111" s="7">
        <f>IF(E111&lt;&gt;E110,SUMIF(E:E,E111,X:X)," ")</f>
        <v>137.83373333333333</v>
      </c>
      <c r="J111" s="8">
        <f>IF(E111&lt;&gt;E110,SUMIF(E:E,E111,Y:Y)," ")</f>
        <v>0.74586700714374832</v>
      </c>
      <c r="K111" s="5" t="s">
        <v>35</v>
      </c>
      <c r="L111" s="5" t="s">
        <v>273</v>
      </c>
      <c r="O111" s="9" t="str">
        <f>IF(Q111="","",COUNTIFS($M:$M,M111,$W:$W,"1"))</f>
        <v/>
      </c>
      <c r="P111" s="9" t="s">
        <v>28</v>
      </c>
      <c r="R111" s="5" t="s">
        <v>29</v>
      </c>
      <c r="T111" s="9" t="str">
        <f t="shared" si="9"/>
        <v/>
      </c>
      <c r="V111" s="5" t="s">
        <v>37</v>
      </c>
      <c r="W111" s="9">
        <f>IF(COUNTIFS($M$2:$M111,M111,$E$2:$E111,E111)=1,1,0)</f>
        <v>0</v>
      </c>
      <c r="X111" s="9">
        <v>72.650533333333328</v>
      </c>
      <c r="Y111" s="10">
        <v>0.49182482060528671</v>
      </c>
      <c r="Z111" s="9" t="str">
        <f>IF(COUNTIF(K$2:K111,K111)=1,SUMIF(K:K,K111,H:H)/SUMIF(K:K,K111,W:W),"")</f>
        <v/>
      </c>
      <c r="AA111" s="9" t="str">
        <f>IF(COUNTIF($M$2:M111,M111)=1, SUMIF(M:M,M111,X:X), "")</f>
        <v/>
      </c>
      <c r="AB111" s="9" t="str">
        <f>IF(COUNTIF($M$2:M111,M111)=1, SUMIF(M:M,M111,Y:Y), "")</f>
        <v/>
      </c>
    </row>
    <row r="112" spans="1:28" x14ac:dyDescent="0.25">
      <c r="A112" s="5">
        <f ca="1">IF(B112="","",COUNTA($B$2:B112))</f>
        <v>111</v>
      </c>
      <c r="B112" s="6">
        <f t="shared" ca="1" si="8"/>
        <v>46191</v>
      </c>
      <c r="C112" s="5" t="s">
        <v>332</v>
      </c>
      <c r="D112" s="5" t="s">
        <v>333</v>
      </c>
      <c r="E112" s="5" t="s">
        <v>330</v>
      </c>
      <c r="F112" s="5" t="s">
        <v>331</v>
      </c>
      <c r="G112" s="5">
        <v>120</v>
      </c>
      <c r="H112" s="7" t="str">
        <f>IF(COUNTIF($M$2:M112,M112)=1,
SUMIFS($G:$G,$M:$M,M112),
"")</f>
        <v/>
      </c>
      <c r="I112" s="7" t="str">
        <f>IF(E112&lt;&gt;E111,SUMIF(E:E,E112,X:X)," ")</f>
        <v xml:space="preserve"> </v>
      </c>
      <c r="J112" s="8" t="str">
        <f>IF(E112&lt;&gt;E111,SUMIF(E:E,E112,Y:Y)," ")</f>
        <v xml:space="preserve"> </v>
      </c>
      <c r="K112" s="5" t="s">
        <v>35</v>
      </c>
      <c r="L112" s="5" t="s">
        <v>273</v>
      </c>
      <c r="O112" s="9" t="str">
        <f>IF(Q112="","",COUNTIFS($M:$M,M112,$W:$W,"1"))</f>
        <v/>
      </c>
      <c r="P112" s="9" t="s">
        <v>28</v>
      </c>
      <c r="R112" s="5" t="s">
        <v>29</v>
      </c>
      <c r="T112" s="9" t="str">
        <f t="shared" si="9"/>
        <v/>
      </c>
      <c r="V112" s="5" t="s">
        <v>37</v>
      </c>
      <c r="W112" s="9">
        <f>IF(COUNTIFS($M$2:$M112,M112,$E$2:$E112,E112)=1,1,0)</f>
        <v>0</v>
      </c>
      <c r="X112" s="9">
        <v>11.523200000000001</v>
      </c>
      <c r="Y112" s="10">
        <v>6.8987769230769228E-2</v>
      </c>
      <c r="Z112" s="9" t="str">
        <f>IF(COUNTIF(K$2:K112,K112)=1,SUMIF(K:K,K112,H:H)/SUMIF(K:K,K112,W:W),"")</f>
        <v/>
      </c>
      <c r="AA112" s="9" t="str">
        <f>IF(COUNTIF($M$2:M112,M112)=1, SUMIF(M:M,M112,X:X), "")</f>
        <v/>
      </c>
      <c r="AB112" s="9" t="str">
        <f>IF(COUNTIF($M$2:M112,M112)=1, SUMIF(M:M,M112,Y:Y), "")</f>
        <v/>
      </c>
    </row>
    <row r="113" spans="1:28" x14ac:dyDescent="0.25">
      <c r="A113" s="5">
        <f ca="1">IF(B113="","",COUNTA($B$2:B113))</f>
        <v>112</v>
      </c>
      <c r="B113" s="6">
        <f t="shared" ca="1" si="8"/>
        <v>46191</v>
      </c>
      <c r="C113" s="5" t="s">
        <v>334</v>
      </c>
      <c r="D113" s="5" t="s">
        <v>335</v>
      </c>
      <c r="E113" s="5" t="s">
        <v>330</v>
      </c>
      <c r="F113" s="5" t="s">
        <v>331</v>
      </c>
      <c r="G113" s="5">
        <v>310</v>
      </c>
      <c r="H113" s="7" t="str">
        <f>IF(COUNTIF($M$2:M113,M113)=1,
SUMIFS($G:$G,$M:$M,M113),
"")</f>
        <v/>
      </c>
      <c r="I113" s="7" t="str">
        <f>IF(E113&lt;&gt;E112,SUMIF(E:E,E113,X:X)," ")</f>
        <v xml:space="preserve"> </v>
      </c>
      <c r="J113" s="8" t="str">
        <f>IF(E113&lt;&gt;E112,SUMIF(E:E,E113,Y:Y)," ")</f>
        <v xml:space="preserve"> </v>
      </c>
      <c r="K113" s="5" t="s">
        <v>35</v>
      </c>
      <c r="L113" s="5" t="s">
        <v>273</v>
      </c>
      <c r="O113" s="9" t="str">
        <f>IF(Q113="","",COUNTIFS($M:$M,M113,$W:$W,"1"))</f>
        <v/>
      </c>
      <c r="P113" s="9" t="s">
        <v>28</v>
      </c>
      <c r="R113" s="5" t="s">
        <v>29</v>
      </c>
      <c r="T113" s="9" t="str">
        <f t="shared" si="9"/>
        <v/>
      </c>
      <c r="V113" s="5" t="s">
        <v>37</v>
      </c>
      <c r="W113" s="9">
        <f>IF(COUNTIFS($M$2:$M113,M113,$E$2:$E113,E113)=1,1,0)</f>
        <v>0</v>
      </c>
      <c r="X113" s="9">
        <v>53.66</v>
      </c>
      <c r="Y113" s="10">
        <v>0.18505441730769231</v>
      </c>
      <c r="Z113" s="9" t="str">
        <f>IF(COUNTIF(K$2:K113,K113)=1,SUMIF(K:K,K113,H:H)/SUMIF(K:K,K113,W:W),"")</f>
        <v/>
      </c>
      <c r="AA113" s="9" t="str">
        <f>IF(COUNTIF($M$2:M113,M113)=1, SUMIF(M:M,M113,X:X), "")</f>
        <v/>
      </c>
      <c r="AB113" s="9" t="str">
        <f>IF(COUNTIF($M$2:M113,M113)=1, SUMIF(M:M,M113,Y:Y), "")</f>
        <v/>
      </c>
    </row>
    <row r="114" spans="1:28" x14ac:dyDescent="0.25">
      <c r="A114" s="5">
        <f ca="1">IF(B114="","",COUNTA($B$2:B114))</f>
        <v>113</v>
      </c>
      <c r="B114" s="6">
        <f t="shared" ca="1" si="8"/>
        <v>46191</v>
      </c>
      <c r="C114" s="5" t="s">
        <v>336</v>
      </c>
      <c r="D114" s="5" t="s">
        <v>337</v>
      </c>
      <c r="E114" s="5" t="s">
        <v>338</v>
      </c>
      <c r="F114" s="5" t="s">
        <v>339</v>
      </c>
      <c r="G114" s="5">
        <v>149</v>
      </c>
      <c r="H114" s="7" t="str">
        <f>IF(COUNTIF($M$2:M114,M114)=1,
SUMIFS($G:$G,$M:$M,M114),
"")</f>
        <v/>
      </c>
      <c r="I114" s="7">
        <f>IF(E114&lt;&gt;E113,SUMIF(E:E,E114,X:X)," ")</f>
        <v>195.04274285714285</v>
      </c>
      <c r="J114" s="8">
        <f>IF(E114&lt;&gt;E113,SUMIF(E:E,E114,Y:Y)," ")</f>
        <v>0.75360521046204176</v>
      </c>
      <c r="K114" s="5" t="s">
        <v>35</v>
      </c>
      <c r="L114" s="5" t="s">
        <v>273</v>
      </c>
      <c r="O114" s="9" t="str">
        <f>IF(Q114="","",COUNTIFS($M:$M,M114,$W:$W,"1"))</f>
        <v/>
      </c>
      <c r="P114" s="9" t="s">
        <v>28</v>
      </c>
      <c r="R114" s="5" t="s">
        <v>29</v>
      </c>
      <c r="T114" s="9" t="str">
        <f t="shared" si="9"/>
        <v/>
      </c>
      <c r="V114" s="5" t="s">
        <v>37</v>
      </c>
      <c r="W114" s="9">
        <f>IF(COUNTIFS($M$2:$M114,M114,$E$2:$E114,E114)=1,1,0)</f>
        <v>0</v>
      </c>
      <c r="X114" s="9">
        <v>111.33074285714287</v>
      </c>
      <c r="Y114" s="10">
        <v>0.34685851110306737</v>
      </c>
      <c r="Z114" s="9" t="str">
        <f>IF(COUNTIF(K$2:K114,K114)=1,SUMIF(K:K,K114,H:H)/SUMIF(K:K,K114,W:W),"")</f>
        <v/>
      </c>
      <c r="AA114" s="9" t="str">
        <f>IF(COUNTIF($M$2:M114,M114)=1, SUMIF(M:M,M114,X:X), "")</f>
        <v/>
      </c>
      <c r="AB114" s="9" t="str">
        <f>IF(COUNTIF($M$2:M114,M114)=1, SUMIF(M:M,M114,Y:Y), "")</f>
        <v/>
      </c>
    </row>
    <row r="115" spans="1:28" x14ac:dyDescent="0.25">
      <c r="A115" s="5">
        <f ca="1">IF(B115="","",COUNTA($B$2:B115))</f>
        <v>114</v>
      </c>
      <c r="B115" s="6">
        <f t="shared" ca="1" si="8"/>
        <v>46191</v>
      </c>
      <c r="C115" s="5" t="s">
        <v>340</v>
      </c>
      <c r="D115" s="5" t="s">
        <v>341</v>
      </c>
      <c r="E115" s="5" t="s">
        <v>338</v>
      </c>
      <c r="F115" s="5" t="s">
        <v>339</v>
      </c>
      <c r="G115" s="5">
        <v>400</v>
      </c>
      <c r="H115" s="7" t="str">
        <f>IF(COUNTIF($M$2:M115,M115)=1,
SUMIFS($G:$G,$M:$M,M115),
"")</f>
        <v/>
      </c>
      <c r="I115" s="7" t="str">
        <f>IF(E115&lt;&gt;E114,SUMIF(E:E,E115,X:X)," ")</f>
        <v xml:space="preserve"> </v>
      </c>
      <c r="J115" s="8" t="str">
        <f>IF(E115&lt;&gt;E114,SUMIF(E:E,E115,Y:Y)," ")</f>
        <v xml:space="preserve"> </v>
      </c>
      <c r="K115" s="5" t="s">
        <v>35</v>
      </c>
      <c r="L115" s="5" t="s">
        <v>273</v>
      </c>
      <c r="O115" s="9" t="str">
        <f>IF(Q115="","",COUNTIFS($M:$M,M115,$W:$W,"1"))</f>
        <v/>
      </c>
      <c r="P115" s="9" t="s">
        <v>28</v>
      </c>
      <c r="R115" s="5" t="s">
        <v>29</v>
      </c>
      <c r="T115" s="9" t="str">
        <f t="shared" si="9"/>
        <v/>
      </c>
      <c r="V115" s="5" t="s">
        <v>37</v>
      </c>
      <c r="W115" s="9">
        <f>IF(COUNTIFS($M$2:$M115,M115,$E$2:$E115,E115)=1,1,0)</f>
        <v>0</v>
      </c>
      <c r="X115" s="9">
        <v>71.08</v>
      </c>
      <c r="Y115" s="10">
        <v>0.32776303269230767</v>
      </c>
      <c r="Z115" s="9" t="str">
        <f>IF(COUNTIF(K$2:K115,K115)=1,SUMIF(K:K,K115,H:H)/SUMIF(K:K,K115,W:W),"")</f>
        <v/>
      </c>
      <c r="AA115" s="9" t="str">
        <f>IF(COUNTIF($M$2:M115,M115)=1, SUMIF(M:M,M115,X:X), "")</f>
        <v/>
      </c>
      <c r="AB115" s="9" t="str">
        <f>IF(COUNTIF($M$2:M115,M115)=1, SUMIF(M:M,M115,Y:Y), "")</f>
        <v/>
      </c>
    </row>
    <row r="116" spans="1:28" x14ac:dyDescent="0.25">
      <c r="A116" s="5">
        <f ca="1">IF(B116="","",COUNTA($B$2:B116))</f>
        <v>115</v>
      </c>
      <c r="B116" s="6">
        <f t="shared" ca="1" si="8"/>
        <v>46191</v>
      </c>
      <c r="C116" s="5" t="s">
        <v>342</v>
      </c>
      <c r="D116" s="5" t="s">
        <v>343</v>
      </c>
      <c r="E116" s="5" t="s">
        <v>338</v>
      </c>
      <c r="F116" s="5" t="s">
        <v>339</v>
      </c>
      <c r="G116" s="5">
        <v>126</v>
      </c>
      <c r="H116" s="7" t="str">
        <f>IF(COUNTIF($M$2:M116,M116)=1,
SUMIFS($G:$G,$M:$M,M116),
"")</f>
        <v/>
      </c>
      <c r="I116" s="7" t="str">
        <f>IF(E116&lt;&gt;E115,SUMIF(E:E,E116,X:X)," ")</f>
        <v xml:space="preserve"> </v>
      </c>
      <c r="J116" s="8" t="str">
        <f>IF(E116&lt;&gt;E115,SUMIF(E:E,E116,Y:Y)," ")</f>
        <v xml:space="preserve"> </v>
      </c>
      <c r="K116" s="5" t="s">
        <v>35</v>
      </c>
      <c r="L116" s="5" t="s">
        <v>273</v>
      </c>
      <c r="O116" s="9" t="str">
        <f>IF(Q116="","",COUNTIFS($M:$M,M116,$W:$W,"1"))</f>
        <v/>
      </c>
      <c r="P116" s="9" t="s">
        <v>28</v>
      </c>
      <c r="R116" s="5" t="s">
        <v>29</v>
      </c>
      <c r="T116" s="9" t="str">
        <f t="shared" si="9"/>
        <v/>
      </c>
      <c r="V116" s="5" t="s">
        <v>37</v>
      </c>
      <c r="W116" s="9">
        <f>IF(COUNTIFS($M$2:$M116,M116,$E$2:$E116,E116)=1,1,0)</f>
        <v>0</v>
      </c>
      <c r="X116" s="9">
        <v>12.632000000000001</v>
      </c>
      <c r="Y116" s="10">
        <v>7.8983666666666674E-2</v>
      </c>
      <c r="Z116" s="9" t="str">
        <f>IF(COUNTIF(K$2:K116,K116)=1,SUMIF(K:K,K116,H:H)/SUMIF(K:K,K116,W:W),"")</f>
        <v/>
      </c>
      <c r="AA116" s="9" t="str">
        <f>IF(COUNTIF($M$2:M116,M116)=1, SUMIF(M:M,M116,X:X), "")</f>
        <v/>
      </c>
      <c r="AB116" s="9" t="str">
        <f>IF(COUNTIF($M$2:M116,M116)=1, SUMIF(M:M,M116,Y:Y), "")</f>
        <v/>
      </c>
    </row>
    <row r="117" spans="1:28" x14ac:dyDescent="0.25">
      <c r="A117" s="5">
        <f ca="1">IF(B117="","",COUNTA($B$2:B117))</f>
        <v>116</v>
      </c>
      <c r="B117" s="6">
        <f t="shared" ca="1" si="8"/>
        <v>46191</v>
      </c>
      <c r="C117" s="5" t="s">
        <v>344</v>
      </c>
      <c r="D117" s="5" t="s">
        <v>345</v>
      </c>
      <c r="E117" s="5" t="s">
        <v>346</v>
      </c>
      <c r="F117" s="5" t="s">
        <v>347</v>
      </c>
      <c r="G117" s="5">
        <v>5530</v>
      </c>
      <c r="H117" s="7" t="str">
        <f>IF(COUNTIF($M$2:M117,M117)=1,
SUMIFS($G:$G,$M:$M,M117),
"")</f>
        <v/>
      </c>
      <c r="I117" s="7">
        <f>IF(E117&lt;&gt;E116,SUMIF(E:E,E117,X:X)," ")</f>
        <v>1690.2847333333332</v>
      </c>
      <c r="J117" s="8">
        <f>IF(E117&lt;&gt;E116,SUMIF(E:E,E117,Y:Y)," ")</f>
        <v>9.1103443634068153</v>
      </c>
      <c r="K117" s="5" t="s">
        <v>35</v>
      </c>
      <c r="L117" s="5" t="s">
        <v>273</v>
      </c>
      <c r="O117" s="9" t="str">
        <f>IF(Q117="","",COUNTIFS($M:$M,M117,$W:$W,"1"))</f>
        <v/>
      </c>
      <c r="P117" s="9" t="s">
        <v>28</v>
      </c>
      <c r="R117" s="5" t="s">
        <v>30</v>
      </c>
      <c r="T117" s="9" t="str">
        <f t="shared" si="9"/>
        <v/>
      </c>
      <c r="V117" s="5" t="s">
        <v>37</v>
      </c>
      <c r="W117" s="9">
        <f>IF(COUNTIFS($M$2:$M117,M117,$E$2:$E117,E117)=1,1,0)</f>
        <v>0</v>
      </c>
      <c r="X117" s="9">
        <v>1690.2847333333332</v>
      </c>
      <c r="Y117" s="10">
        <v>9.1103443634068153</v>
      </c>
      <c r="Z117" s="9" t="str">
        <f>IF(COUNTIF(K$2:K117,K117)=1,SUMIF(K:K,K117,H:H)/SUMIF(K:K,K117,W:W),"")</f>
        <v/>
      </c>
      <c r="AA117" s="9" t="str">
        <f>IF(COUNTIF($M$2:M117,M117)=1, SUMIF(M:M,M117,X:X), "")</f>
        <v/>
      </c>
      <c r="AB117" s="9" t="str">
        <f>IF(COUNTIF($M$2:M117,M117)=1, SUMIF(M:M,M117,Y:Y), "")</f>
        <v/>
      </c>
    </row>
    <row r="118" spans="1:28" x14ac:dyDescent="0.25">
      <c r="A118" s="5">
        <f ca="1">IF(B118="","",COUNTA($B$2:B118))</f>
        <v>117</v>
      </c>
      <c r="B118" s="6">
        <f t="shared" ca="1" si="8"/>
        <v>46191</v>
      </c>
      <c r="C118" s="5" t="s">
        <v>348</v>
      </c>
      <c r="D118" s="5" t="s">
        <v>349</v>
      </c>
      <c r="E118" s="5" t="s">
        <v>350</v>
      </c>
      <c r="F118" s="5" t="s">
        <v>351</v>
      </c>
      <c r="G118" s="5">
        <v>193</v>
      </c>
      <c r="H118" s="7" t="str">
        <f>IF(COUNTIF($M$2:M118,M118)=1,
SUMIFS($G:$G,$M:$M,M118),
"")</f>
        <v/>
      </c>
      <c r="I118" s="7">
        <f>IF(E118&lt;&gt;E117,SUMIF(E:E,E118,X:X)," ")</f>
        <v>115.55397090909092</v>
      </c>
      <c r="J118" s="8">
        <f>IF(E118&lt;&gt;E117,SUMIF(E:E,E118,Y:Y)," ")</f>
        <v>0.48636173907692304</v>
      </c>
      <c r="K118" s="5" t="s">
        <v>35</v>
      </c>
      <c r="L118" s="5" t="s">
        <v>273</v>
      </c>
      <c r="O118" s="9" t="str">
        <f>IF(Q118="","",COUNTIFS($M:$M,M118,$W:$W,"1"))</f>
        <v/>
      </c>
      <c r="P118" s="9" t="s">
        <v>28</v>
      </c>
      <c r="R118" s="5" t="s">
        <v>29</v>
      </c>
      <c r="T118" s="9" t="str">
        <f t="shared" si="9"/>
        <v/>
      </c>
      <c r="V118" s="5" t="s">
        <v>37</v>
      </c>
      <c r="W118" s="9">
        <f>IF(COUNTIFS($M$2:$M118,M118,$E$2:$E118,E118)=1,1,0)</f>
        <v>0</v>
      </c>
      <c r="X118" s="9">
        <v>62.073970909090917</v>
      </c>
      <c r="Y118" s="10">
        <v>0.28971831599999998</v>
      </c>
      <c r="Z118" s="9" t="str">
        <f>IF(COUNTIF(K$2:K118,K118)=1,SUMIF(K:K,K118,H:H)/SUMIF(K:K,K118,W:W),"")</f>
        <v/>
      </c>
      <c r="AA118" s="9" t="str">
        <f>IF(COUNTIF($M$2:M118,M118)=1, SUMIF(M:M,M118,X:X), "")</f>
        <v/>
      </c>
      <c r="AB118" s="9" t="str">
        <f>IF(COUNTIF($M$2:M118,M118)=1, SUMIF(M:M,M118,Y:Y), "")</f>
        <v/>
      </c>
    </row>
    <row r="119" spans="1:28" x14ac:dyDescent="0.25">
      <c r="A119" s="5">
        <f ca="1">IF(B119="","",COUNTA($B$2:B119))</f>
        <v>118</v>
      </c>
      <c r="B119" s="6">
        <f t="shared" ca="1" si="8"/>
        <v>46191</v>
      </c>
      <c r="C119" s="5" t="s">
        <v>352</v>
      </c>
      <c r="D119" s="5" t="s">
        <v>353</v>
      </c>
      <c r="E119" s="5" t="s">
        <v>350</v>
      </c>
      <c r="F119" s="5" t="s">
        <v>351</v>
      </c>
      <c r="G119" s="5">
        <v>230</v>
      </c>
      <c r="H119" s="7" t="str">
        <f>IF(COUNTIF($M$2:M119,M119)=1,
SUMIFS($G:$G,$M:$M,M119),
"")</f>
        <v/>
      </c>
      <c r="I119" s="7" t="str">
        <f>IF(E119&lt;&gt;E118,SUMIF(E:E,E119,X:X)," ")</f>
        <v xml:space="preserve"> </v>
      </c>
      <c r="J119" s="8" t="str">
        <f>IF(E119&lt;&gt;E118,SUMIF(E:E,E119,Y:Y)," ")</f>
        <v xml:space="preserve"> </v>
      </c>
      <c r="K119" s="5" t="s">
        <v>35</v>
      </c>
      <c r="L119" s="5" t="s">
        <v>273</v>
      </c>
      <c r="O119" s="9" t="str">
        <f>IF(Q119="","",COUNTIFS($M:$M,M119,$W:$W,"1"))</f>
        <v/>
      </c>
      <c r="P119" s="9" t="s">
        <v>28</v>
      </c>
      <c r="R119" s="5" t="s">
        <v>29</v>
      </c>
      <c r="T119" s="9" t="str">
        <f t="shared" si="9"/>
        <v/>
      </c>
      <c r="V119" s="5" t="s">
        <v>37</v>
      </c>
      <c r="W119" s="9">
        <f>IF(COUNTIFS($M$2:$M119,M119,$E$2:$E119,E119)=1,1,0)</f>
        <v>0</v>
      </c>
      <c r="X119" s="9">
        <v>43</v>
      </c>
      <c r="Y119" s="10">
        <v>0.13565942307692308</v>
      </c>
      <c r="Z119" s="9" t="str">
        <f>IF(COUNTIF(K$2:K119,K119)=1,SUMIF(K:K,K119,H:H)/SUMIF(K:K,K119,W:W),"")</f>
        <v/>
      </c>
      <c r="AA119" s="9" t="str">
        <f>IF(COUNTIF($M$2:M119,M119)=1, SUMIF(M:M,M119,X:X), "")</f>
        <v/>
      </c>
      <c r="AB119" s="9" t="str">
        <f>IF(COUNTIF($M$2:M119,M119)=1, SUMIF(M:M,M119,Y:Y), "")</f>
        <v/>
      </c>
    </row>
    <row r="120" spans="1:28" x14ac:dyDescent="0.25">
      <c r="A120" s="5">
        <f ca="1">IF(B120="","",COUNTA($B$2:B120))</f>
        <v>119</v>
      </c>
      <c r="B120" s="6">
        <f t="shared" ca="1" si="8"/>
        <v>46191</v>
      </c>
      <c r="C120" s="5" t="s">
        <v>354</v>
      </c>
      <c r="D120" s="5" t="s">
        <v>355</v>
      </c>
      <c r="E120" s="5" t="s">
        <v>350</v>
      </c>
      <c r="F120" s="5" t="s">
        <v>351</v>
      </c>
      <c r="G120" s="5">
        <v>120</v>
      </c>
      <c r="H120" s="7" t="str">
        <f>IF(COUNTIF($M$2:M120,M120)=1,
SUMIFS($G:$G,$M:$M,M120),
"")</f>
        <v/>
      </c>
      <c r="I120" s="7" t="str">
        <f>IF(E120&lt;&gt;E119,SUMIF(E:E,E120,X:X)," ")</f>
        <v xml:space="preserve"> </v>
      </c>
      <c r="J120" s="8" t="str">
        <f>IF(E120&lt;&gt;E119,SUMIF(E:E,E120,Y:Y)," ")</f>
        <v xml:space="preserve"> </v>
      </c>
      <c r="K120" s="5" t="s">
        <v>35</v>
      </c>
      <c r="L120" s="5" t="s">
        <v>273</v>
      </c>
      <c r="O120" s="9" t="str">
        <f>IF(Q120="","",COUNTIFS($M:$M,M120,$W:$W,"1"))</f>
        <v/>
      </c>
      <c r="P120" s="9" t="s">
        <v>28</v>
      </c>
      <c r="R120" s="5" t="s">
        <v>29</v>
      </c>
      <c r="T120" s="9" t="str">
        <f t="shared" si="9"/>
        <v/>
      </c>
      <c r="V120" s="5" t="s">
        <v>37</v>
      </c>
      <c r="W120" s="9">
        <f>IF(COUNTIFS($M$2:$M120,M120,$E$2:$E120,E120)=1,1,0)</f>
        <v>0</v>
      </c>
      <c r="X120" s="9">
        <v>10.48</v>
      </c>
      <c r="Y120" s="10">
        <v>6.0983999999999997E-2</v>
      </c>
      <c r="Z120" s="9" t="str">
        <f>IF(COUNTIF(K$2:K120,K120)=1,SUMIF(K:K,K120,H:H)/SUMIF(K:K,K120,W:W),"")</f>
        <v/>
      </c>
      <c r="AA120" s="9" t="str">
        <f>IF(COUNTIF($M$2:M120,M120)=1, SUMIF(M:M,M120,X:X), "")</f>
        <v/>
      </c>
      <c r="AB120" s="9" t="str">
        <f>IF(COUNTIF($M$2:M120,M120)=1, SUMIF(M:M,M120,Y:Y), "")</f>
        <v/>
      </c>
    </row>
    <row r="121" spans="1:28" x14ac:dyDescent="0.25">
      <c r="A121" s="5">
        <f ca="1">IF(B121="","",COUNTA($B$2:B121))</f>
        <v>120</v>
      </c>
      <c r="B121" s="6">
        <f t="shared" ca="1" si="8"/>
        <v>46191</v>
      </c>
      <c r="C121" s="5" t="s">
        <v>356</v>
      </c>
      <c r="D121" s="5" t="s">
        <v>357</v>
      </c>
      <c r="E121" s="5" t="s">
        <v>358</v>
      </c>
      <c r="F121" s="5" t="s">
        <v>359</v>
      </c>
      <c r="G121" s="5">
        <v>138</v>
      </c>
      <c r="H121" s="7" t="str">
        <f>IF(COUNTIF($M$2:M121,M121)=1,
SUMIFS($G:$G,$M:$M,M121),
"")</f>
        <v/>
      </c>
      <c r="I121" s="7">
        <f>IF(E121&lt;&gt;E120,SUMIF(E:E,E121,X:X)," ")</f>
        <v>144.23809428571428</v>
      </c>
      <c r="J121" s="8">
        <f>IF(E121&lt;&gt;E120,SUMIF(E:E,E121,Y:Y)," ")</f>
        <v>0.6511377770781448</v>
      </c>
      <c r="K121" s="5" t="s">
        <v>35</v>
      </c>
      <c r="L121" s="5" t="s">
        <v>273</v>
      </c>
      <c r="O121" s="9" t="str">
        <f>IF(Q121="","",COUNTIFS($M:$M,M121,$W:$W,"1"))</f>
        <v/>
      </c>
      <c r="P121" s="9" t="s">
        <v>28</v>
      </c>
      <c r="R121" s="5" t="s">
        <v>29</v>
      </c>
      <c r="T121" s="9" t="str">
        <f t="shared" si="9"/>
        <v/>
      </c>
      <c r="V121" s="5" t="s">
        <v>37</v>
      </c>
      <c r="W121" s="9">
        <f>IF(COUNTIFS($M$2:$M121,M121,$E$2:$E121,E121)=1,1,0)</f>
        <v>0</v>
      </c>
      <c r="X121" s="9">
        <v>85.173294285714292</v>
      </c>
      <c r="Y121" s="10">
        <v>0.31446882900122164</v>
      </c>
      <c r="Z121" s="9" t="str">
        <f>IF(COUNTIF(K$2:K121,K121)=1,SUMIF(K:K,K121,H:H)/SUMIF(K:K,K121,W:W),"")</f>
        <v/>
      </c>
      <c r="AA121" s="9" t="str">
        <f>IF(COUNTIF($M$2:M121,M121)=1, SUMIF(M:M,M121,X:X), "")</f>
        <v/>
      </c>
      <c r="AB121" s="9" t="str">
        <f>IF(COUNTIF($M$2:M121,M121)=1, SUMIF(M:M,M121,Y:Y), "")</f>
        <v/>
      </c>
    </row>
    <row r="122" spans="1:28" x14ac:dyDescent="0.25">
      <c r="A122" s="5">
        <f ca="1">IF(B122="","",COUNTA($B$2:B122))</f>
        <v>121</v>
      </c>
      <c r="B122" s="6">
        <f t="shared" ca="1" si="8"/>
        <v>46191</v>
      </c>
      <c r="C122" s="5" t="s">
        <v>360</v>
      </c>
      <c r="D122" s="5" t="s">
        <v>361</v>
      </c>
      <c r="E122" s="5" t="s">
        <v>358</v>
      </c>
      <c r="F122" s="5" t="s">
        <v>359</v>
      </c>
      <c r="G122" s="5">
        <v>194</v>
      </c>
      <c r="H122" s="7" t="str">
        <f>IF(COUNTIF($M$2:M122,M122)=1,
SUMIFS($G:$G,$M:$M,M122),
"")</f>
        <v/>
      </c>
      <c r="I122" s="7" t="str">
        <f>IF(E122&lt;&gt;E121,SUMIF(E:E,E122,X:X)," ")</f>
        <v xml:space="preserve"> </v>
      </c>
      <c r="J122" s="8" t="str">
        <f>IF(E122&lt;&gt;E121,SUMIF(E:E,E122,Y:Y)," ")</f>
        <v xml:space="preserve"> </v>
      </c>
      <c r="K122" s="5" t="s">
        <v>35</v>
      </c>
      <c r="L122" s="5" t="s">
        <v>273</v>
      </c>
      <c r="O122" s="9" t="str">
        <f>IF(Q122="","",COUNTIFS($M:$M,M122,$W:$W,"1"))</f>
        <v/>
      </c>
      <c r="P122" s="9" t="s">
        <v>28</v>
      </c>
      <c r="R122" s="5" t="s">
        <v>29</v>
      </c>
      <c r="T122" s="9" t="str">
        <f t="shared" si="9"/>
        <v/>
      </c>
      <c r="V122" s="5" t="s">
        <v>37</v>
      </c>
      <c r="W122" s="9">
        <f>IF(COUNTIFS($M$2:$M122,M122,$E$2:$E122,E122)=1,1,0)</f>
        <v>0</v>
      </c>
      <c r="X122" s="9">
        <v>59.064800000000005</v>
      </c>
      <c r="Y122" s="10">
        <v>0.3366689480769231</v>
      </c>
      <c r="Z122" s="9" t="str">
        <f>IF(COUNTIF(K$2:K122,K122)=1,SUMIF(K:K,K122,H:H)/SUMIF(K:K,K122,W:W),"")</f>
        <v/>
      </c>
      <c r="AA122" s="9" t="str">
        <f>IF(COUNTIF($M$2:M122,M122)=1, SUMIF(M:M,M122,X:X), "")</f>
        <v/>
      </c>
      <c r="AB122" s="9" t="str">
        <f>IF(COUNTIF($M$2:M122,M122)=1, SUMIF(M:M,M122,Y:Y), "")</f>
        <v/>
      </c>
    </row>
    <row r="123" spans="1:28" x14ac:dyDescent="0.25">
      <c r="A123" s="5">
        <f ca="1">IF(B123="","",COUNTA($B$2:B123))</f>
        <v>122</v>
      </c>
      <c r="B123" s="6">
        <f t="shared" ca="1" si="8"/>
        <v>46191</v>
      </c>
      <c r="C123" s="5" t="s">
        <v>362</v>
      </c>
      <c r="D123" s="5" t="s">
        <v>363</v>
      </c>
      <c r="E123" s="5" t="s">
        <v>364</v>
      </c>
      <c r="F123" s="5" t="s">
        <v>365</v>
      </c>
      <c r="G123" s="5">
        <v>105</v>
      </c>
      <c r="H123" s="7" t="str">
        <f>IF(COUNTIF($M$2:M123,M123)=1,
SUMIFS($G:$G,$M:$M,M123),
"")</f>
        <v/>
      </c>
      <c r="I123" s="7">
        <f>IF(E123&lt;&gt;E122,SUMIF(E:E,E123,X:X)," ")</f>
        <v>121.57768571428572</v>
      </c>
      <c r="J123" s="8">
        <f>IF(E123&lt;&gt;E122,SUMIF(E:E,E123,Y:Y)," ")</f>
        <v>0.44072856765679141</v>
      </c>
      <c r="K123" s="5" t="s">
        <v>35</v>
      </c>
      <c r="L123" s="5" t="s">
        <v>273</v>
      </c>
      <c r="O123" s="9" t="str">
        <f>IF(Q123="","",COUNTIFS($M:$M,M123,$W:$W,"1"))</f>
        <v/>
      </c>
      <c r="P123" s="9" t="s">
        <v>28</v>
      </c>
      <c r="R123" s="5" t="s">
        <v>29</v>
      </c>
      <c r="T123" s="9" t="str">
        <f t="shared" si="9"/>
        <v/>
      </c>
      <c r="V123" s="5" t="s">
        <v>37</v>
      </c>
      <c r="W123" s="9">
        <f>IF(COUNTIFS($M$2:$M123,M123,$E$2:$E123,E123)=1,1,0)</f>
        <v>0</v>
      </c>
      <c r="X123" s="9">
        <v>69.573685714285716</v>
      </c>
      <c r="Y123" s="10">
        <v>0.22300458881063753</v>
      </c>
      <c r="Z123" s="9" t="str">
        <f>IF(COUNTIF(K$2:K123,K123)=1,SUMIF(K:K,K123,H:H)/SUMIF(K:K,K123,W:W),"")</f>
        <v/>
      </c>
      <c r="AA123" s="9" t="str">
        <f>IF(COUNTIF($M$2:M123,M123)=1, SUMIF(M:M,M123,X:X), "")</f>
        <v/>
      </c>
      <c r="AB123" s="9" t="str">
        <f>IF(COUNTIF($M$2:M123,M123)=1, SUMIF(M:M,M123,Y:Y), "")</f>
        <v/>
      </c>
    </row>
    <row r="124" spans="1:28" x14ac:dyDescent="0.25">
      <c r="A124" s="5">
        <f ca="1">IF(B124="","",COUNTA($B$2:B124))</f>
        <v>123</v>
      </c>
      <c r="B124" s="6">
        <f t="shared" ca="1" si="8"/>
        <v>46191</v>
      </c>
      <c r="C124" s="5" t="s">
        <v>366</v>
      </c>
      <c r="D124" s="5" t="s">
        <v>367</v>
      </c>
      <c r="E124" s="5" t="s">
        <v>364</v>
      </c>
      <c r="F124" s="5" t="s">
        <v>365</v>
      </c>
      <c r="G124" s="5">
        <v>236</v>
      </c>
      <c r="H124" s="7" t="str">
        <f>IF(COUNTIF($M$2:M124,M124)=1,
SUMIFS($G:$G,$M:$M,M124),
"")</f>
        <v/>
      </c>
      <c r="I124" s="7" t="str">
        <f>IF(E124&lt;&gt;E123,SUMIF(E:E,E124,X:X)," ")</f>
        <v xml:space="preserve"> </v>
      </c>
      <c r="J124" s="8" t="str">
        <f>IF(E124&lt;&gt;E123,SUMIF(E:E,E124,Y:Y)," ")</f>
        <v xml:space="preserve"> </v>
      </c>
      <c r="K124" s="5" t="s">
        <v>35</v>
      </c>
      <c r="L124" s="5" t="s">
        <v>273</v>
      </c>
      <c r="O124" s="9" t="str">
        <f>IF(Q124="","",COUNTIFS($M:$M,M124,$W:$W,"1"))</f>
        <v/>
      </c>
      <c r="P124" s="9" t="s">
        <v>28</v>
      </c>
      <c r="R124" s="5" t="s">
        <v>29</v>
      </c>
      <c r="T124" s="9" t="str">
        <f t="shared" si="9"/>
        <v/>
      </c>
      <c r="V124" s="5" t="s">
        <v>37</v>
      </c>
      <c r="W124" s="9">
        <f>IF(COUNTIFS($M$2:$M124,M124,$E$2:$E124,E124)=1,1,0)</f>
        <v>0</v>
      </c>
      <c r="X124" s="9">
        <v>46.764000000000003</v>
      </c>
      <c r="Y124" s="10">
        <v>0.18723197884615386</v>
      </c>
      <c r="Z124" s="9" t="str">
        <f>IF(COUNTIF(K$2:K124,K124)=1,SUMIF(K:K,K124,H:H)/SUMIF(K:K,K124,W:W),"")</f>
        <v/>
      </c>
      <c r="AA124" s="9" t="str">
        <f>IF(COUNTIF($M$2:M124,M124)=1, SUMIF(M:M,M124,X:X), "")</f>
        <v/>
      </c>
      <c r="AB124" s="9" t="str">
        <f>IF(COUNTIF($M$2:M124,M124)=1, SUMIF(M:M,M124,Y:Y), "")</f>
        <v/>
      </c>
    </row>
    <row r="125" spans="1:28" x14ac:dyDescent="0.25">
      <c r="A125" s="5">
        <f ca="1">IF(B125="","",COUNTA($B$2:B125))</f>
        <v>124</v>
      </c>
      <c r="B125" s="6">
        <f t="shared" ca="1" si="8"/>
        <v>46191</v>
      </c>
      <c r="C125" s="5" t="s">
        <v>368</v>
      </c>
      <c r="D125" s="5" t="s">
        <v>369</v>
      </c>
      <c r="E125" s="5" t="s">
        <v>364</v>
      </c>
      <c r="F125" s="5" t="s">
        <v>365</v>
      </c>
      <c r="G125" s="5">
        <v>60</v>
      </c>
      <c r="H125" s="7" t="str">
        <f>IF(COUNTIF($M$2:M125,M125)=1,
SUMIFS($G:$G,$M:$M,M125),
"")</f>
        <v/>
      </c>
      <c r="I125" s="7" t="str">
        <f>IF(E125&lt;&gt;E124,SUMIF(E:E,E125,X:X)," ")</f>
        <v xml:space="preserve"> </v>
      </c>
      <c r="J125" s="8" t="str">
        <f>IF(E125&lt;&gt;E124,SUMIF(E:E,E125,Y:Y)," ")</f>
        <v xml:space="preserve"> </v>
      </c>
      <c r="K125" s="5" t="s">
        <v>35</v>
      </c>
      <c r="L125" s="5" t="s">
        <v>273</v>
      </c>
      <c r="O125" s="9" t="str">
        <f>IF(Q125="","",COUNTIFS($M:$M,M125,$W:$W,"1"))</f>
        <v/>
      </c>
      <c r="P125" s="9" t="s">
        <v>28</v>
      </c>
      <c r="R125" s="5" t="s">
        <v>29</v>
      </c>
      <c r="T125" s="9" t="str">
        <f t="shared" si="9"/>
        <v/>
      </c>
      <c r="V125" s="5" t="s">
        <v>37</v>
      </c>
      <c r="W125" s="9">
        <f>IF(COUNTIFS($M$2:$M125,M125,$E$2:$E125,E125)=1,1,0)</f>
        <v>0</v>
      </c>
      <c r="X125" s="9">
        <v>5.24</v>
      </c>
      <c r="Y125" s="10">
        <v>3.0491999999999998E-2</v>
      </c>
      <c r="Z125" s="9" t="str">
        <f>IF(COUNTIF(K$2:K125,K125)=1,SUMIF(K:K,K125,H:H)/SUMIF(K:K,K125,W:W),"")</f>
        <v/>
      </c>
      <c r="AA125" s="9" t="str">
        <f>IF(COUNTIF($M$2:M125,M125)=1, SUMIF(M:M,M125,X:X), "")</f>
        <v/>
      </c>
      <c r="AB125" s="9" t="str">
        <f>IF(COUNTIF($M$2:M125,M125)=1, SUMIF(M:M,M125,Y:Y), "")</f>
        <v/>
      </c>
    </row>
    <row r="126" spans="1:28" x14ac:dyDescent="0.25">
      <c r="A126" s="5">
        <f ca="1">IF(B126="","",COUNTA($B$2:B126))</f>
        <v>125</v>
      </c>
      <c r="B126" s="6">
        <f t="shared" ca="1" si="8"/>
        <v>46191</v>
      </c>
      <c r="C126" s="5" t="s">
        <v>370</v>
      </c>
      <c r="D126" s="5" t="s">
        <v>371</v>
      </c>
      <c r="E126" s="5" t="s">
        <v>372</v>
      </c>
      <c r="F126" s="5" t="s">
        <v>373</v>
      </c>
      <c r="G126" s="5">
        <v>86</v>
      </c>
      <c r="H126" s="7" t="str">
        <f>IF(COUNTIF($M$2:M126,M126)=1,
SUMIFS($G:$G,$M:$M,M126),
"")</f>
        <v/>
      </c>
      <c r="I126" s="7">
        <f>IF(E126&lt;&gt;E125,SUMIF(E:E,E126,X:X)," ")</f>
        <v>95.006971428571418</v>
      </c>
      <c r="J126" s="8">
        <f>IF(E126&lt;&gt;E125,SUMIF(E:E,E126,Y:Y)," ")</f>
        <v>0.27705614109890109</v>
      </c>
      <c r="K126" s="5" t="s">
        <v>35</v>
      </c>
      <c r="L126" s="5" t="s">
        <v>273</v>
      </c>
      <c r="O126" s="9" t="str">
        <f>IF(Q126="","",COUNTIFS($M:$M,M126,$W:$W,"1"))</f>
        <v/>
      </c>
      <c r="P126" s="9" t="s">
        <v>28</v>
      </c>
      <c r="R126" s="5" t="s">
        <v>29</v>
      </c>
      <c r="T126" s="9" t="str">
        <f t="shared" si="9"/>
        <v/>
      </c>
      <c r="V126" s="5" t="s">
        <v>37</v>
      </c>
      <c r="W126" s="9">
        <f>IF(COUNTIFS($M$2:$M126,M126,$E$2:$E126,E126)=1,1,0)</f>
        <v>0</v>
      </c>
      <c r="X126" s="9">
        <v>58.80697142857143</v>
      </c>
      <c r="Y126" s="10">
        <v>0.16583187186813186</v>
      </c>
      <c r="Z126" s="9" t="str">
        <f>IF(COUNTIF(K$2:K126,K126)=1,SUMIF(K:K,K126,H:H)/SUMIF(K:K,K126,W:W),"")</f>
        <v/>
      </c>
      <c r="AA126" s="9" t="str">
        <f>IF(COUNTIF($M$2:M126,M126)=1, SUMIF(M:M,M126,X:X), "")</f>
        <v/>
      </c>
      <c r="AB126" s="9" t="str">
        <f>IF(COUNTIF($M$2:M126,M126)=1, SUMIF(M:M,M126,Y:Y), "")</f>
        <v/>
      </c>
    </row>
    <row r="127" spans="1:28" x14ac:dyDescent="0.25">
      <c r="A127" s="5">
        <f ca="1">IF(B127="","",COUNTA($B$2:B127))</f>
        <v>126</v>
      </c>
      <c r="B127" s="6">
        <f t="shared" ca="1" si="8"/>
        <v>46191</v>
      </c>
      <c r="C127" s="5" t="s">
        <v>374</v>
      </c>
      <c r="D127" s="5" t="s">
        <v>375</v>
      </c>
      <c r="E127" s="5" t="s">
        <v>372</v>
      </c>
      <c r="F127" s="5" t="s">
        <v>373</v>
      </c>
      <c r="G127" s="5">
        <v>110</v>
      </c>
      <c r="H127" s="7" t="str">
        <f>IF(COUNTIF($M$2:M127,M127)=1,
SUMIFS($G:$G,$M:$M,M127),
"")</f>
        <v/>
      </c>
      <c r="I127" s="7" t="str">
        <f>IF(E127&lt;&gt;E126,SUMIF(E:E,E127,X:X)," ")</f>
        <v xml:space="preserve"> </v>
      </c>
      <c r="J127" s="8" t="str">
        <f>IF(E127&lt;&gt;E126,SUMIF(E:E,E127,Y:Y)," ")</f>
        <v xml:space="preserve"> </v>
      </c>
      <c r="K127" s="5" t="s">
        <v>35</v>
      </c>
      <c r="L127" s="5" t="s">
        <v>273</v>
      </c>
      <c r="O127" s="9" t="str">
        <f>IF(Q127="","",COUNTIFS($M:$M,M127,$W:$W,"1"))</f>
        <v/>
      </c>
      <c r="P127" s="9" t="s">
        <v>28</v>
      </c>
      <c r="R127" s="5" t="s">
        <v>29</v>
      </c>
      <c r="T127" s="9" t="str">
        <f t="shared" si="9"/>
        <v/>
      </c>
      <c r="V127" s="5" t="s">
        <v>37</v>
      </c>
      <c r="W127" s="9">
        <f>IF(COUNTIFS($M$2:$M127,M127,$E$2:$E127,E127)=1,1,0)</f>
        <v>0</v>
      </c>
      <c r="X127" s="9">
        <v>31.4</v>
      </c>
      <c r="Y127" s="10">
        <v>7.9224269230769251E-2</v>
      </c>
      <c r="Z127" s="9" t="str">
        <f>IF(COUNTIF(K$2:K127,K127)=1,SUMIF(K:K,K127,H:H)/SUMIF(K:K,K127,W:W),"")</f>
        <v/>
      </c>
      <c r="AA127" s="9" t="str">
        <f>IF(COUNTIF($M$2:M127,M127)=1, SUMIF(M:M,M127,X:X), "")</f>
        <v/>
      </c>
      <c r="AB127" s="9" t="str">
        <f>IF(COUNTIF($M$2:M127,M127)=1, SUMIF(M:M,M127,Y:Y), "")</f>
        <v/>
      </c>
    </row>
    <row r="128" spans="1:28" x14ac:dyDescent="0.25">
      <c r="A128" s="5">
        <f ca="1">IF(B128="","",COUNTA($B$2:B128))</f>
        <v>127</v>
      </c>
      <c r="B128" s="6">
        <f t="shared" ca="1" si="8"/>
        <v>46191</v>
      </c>
      <c r="C128" s="5" t="s">
        <v>376</v>
      </c>
      <c r="D128" s="5" t="s">
        <v>377</v>
      </c>
      <c r="E128" s="5" t="s">
        <v>372</v>
      </c>
      <c r="F128" s="5" t="s">
        <v>373</v>
      </c>
      <c r="G128" s="5">
        <v>40</v>
      </c>
      <c r="H128" s="7" t="str">
        <f>IF(COUNTIF($M$2:M128,M128)=1,
SUMIFS($G:$G,$M:$M,M128),
"")</f>
        <v/>
      </c>
      <c r="I128" s="7" t="str">
        <f>IF(E128&lt;&gt;E127,SUMIF(E:E,E128,X:X)," ")</f>
        <v xml:space="preserve"> </v>
      </c>
      <c r="J128" s="8" t="str">
        <f>IF(E128&lt;&gt;E127,SUMIF(E:E,E128,Y:Y)," ")</f>
        <v xml:space="preserve"> </v>
      </c>
      <c r="K128" s="5" t="s">
        <v>35</v>
      </c>
      <c r="L128" s="5" t="s">
        <v>273</v>
      </c>
      <c r="O128" s="9" t="str">
        <f>IF(Q128="","",COUNTIFS($M:$M,M128,$W:$W,"1"))</f>
        <v/>
      </c>
      <c r="P128" s="9" t="s">
        <v>28</v>
      </c>
      <c r="R128" s="5" t="s">
        <v>29</v>
      </c>
      <c r="T128" s="9" t="str">
        <f t="shared" si="9"/>
        <v/>
      </c>
      <c r="V128" s="5" t="s">
        <v>37</v>
      </c>
      <c r="W128" s="9">
        <f>IF(COUNTIFS($M$2:$M128,M128,$E$2:$E128,E128)=1,1,0)</f>
        <v>0</v>
      </c>
      <c r="X128" s="9">
        <v>4.8</v>
      </c>
      <c r="Y128" s="10">
        <v>3.2000000000000001E-2</v>
      </c>
      <c r="Z128" s="9" t="str">
        <f>IF(COUNTIF(K$2:K128,K128)=1,SUMIF(K:K,K128,H:H)/SUMIF(K:K,K128,W:W),"")</f>
        <v/>
      </c>
      <c r="AA128" s="9" t="str">
        <f>IF(COUNTIF($M$2:M128,M128)=1, SUMIF(M:M,M128,X:X), "")</f>
        <v/>
      </c>
      <c r="AB128" s="9" t="str">
        <f>IF(COUNTIF($M$2:M128,M128)=1, SUMIF(M:M,M128,Y:Y), "")</f>
        <v/>
      </c>
    </row>
    <row r="129" spans="1:28" x14ac:dyDescent="0.25">
      <c r="A129" s="5">
        <f ca="1">IF(B129="","",COUNTA($B$2:B129))</f>
        <v>128</v>
      </c>
      <c r="B129" s="6">
        <f t="shared" ca="1" si="8"/>
        <v>46191</v>
      </c>
      <c r="C129" s="5" t="s">
        <v>378</v>
      </c>
      <c r="D129" s="5" t="s">
        <v>379</v>
      </c>
      <c r="E129" s="5" t="s">
        <v>380</v>
      </c>
      <c r="F129" s="5" t="s">
        <v>381</v>
      </c>
      <c r="G129" s="5">
        <v>268</v>
      </c>
      <c r="H129" s="7" t="str">
        <f>IF(COUNTIF($M$2:M129,M129)=1,
SUMIFS($G:$G,$M:$M,M129),
"")</f>
        <v/>
      </c>
      <c r="I129" s="7">
        <f>IF(E129&lt;&gt;E128,SUMIF(E:E,E129,X:X)," ")</f>
        <v>158.19759090909088</v>
      </c>
      <c r="J129" s="8">
        <f>IF(E129&lt;&gt;E128,SUMIF(E:E,E129,Y:Y)," ")</f>
        <v>0.80714920857193195</v>
      </c>
      <c r="K129" s="5" t="s">
        <v>35</v>
      </c>
      <c r="L129" s="5" t="s">
        <v>273</v>
      </c>
      <c r="O129" s="9" t="str">
        <f>IF(Q129="","",COUNTIFS($M:$M,M129,$W:$W,"1"))</f>
        <v/>
      </c>
      <c r="P129" s="9" t="s">
        <v>28</v>
      </c>
      <c r="R129" s="5" t="s">
        <v>29</v>
      </c>
      <c r="T129" s="9" t="str">
        <f t="shared" si="9"/>
        <v/>
      </c>
      <c r="V129" s="5" t="s">
        <v>37</v>
      </c>
      <c r="W129" s="9">
        <f>IF(COUNTIFS($M$2:$M129,M129,$E$2:$E129,E129)=1,1,0)</f>
        <v>0</v>
      </c>
      <c r="X129" s="9">
        <v>109.16639090909089</v>
      </c>
      <c r="Y129" s="10">
        <v>0.64171383164885498</v>
      </c>
      <c r="Z129" s="9" t="str">
        <f>IF(COUNTIF(K$2:K129,K129)=1,SUMIF(K:K,K129,H:H)/SUMIF(K:K,K129,W:W),"")</f>
        <v/>
      </c>
      <c r="AA129" s="9" t="str">
        <f>IF(COUNTIF($M$2:M129,M129)=1, SUMIF(M:M,M129,X:X), "")</f>
        <v/>
      </c>
      <c r="AB129" s="9" t="str">
        <f>IF(COUNTIF($M$2:M129,M129)=1, SUMIF(M:M,M129,Y:Y), "")</f>
        <v/>
      </c>
    </row>
    <row r="130" spans="1:28" x14ac:dyDescent="0.25">
      <c r="A130" s="5">
        <f ca="1">IF(B130="","",COUNTA($B$2:B130))</f>
        <v>129</v>
      </c>
      <c r="B130" s="6">
        <f t="shared" ca="1" si="8"/>
        <v>46191</v>
      </c>
      <c r="C130" s="5" t="s">
        <v>382</v>
      </c>
      <c r="D130" s="5" t="s">
        <v>383</v>
      </c>
      <c r="E130" s="5" t="s">
        <v>380</v>
      </c>
      <c r="F130" s="5" t="s">
        <v>381</v>
      </c>
      <c r="G130" s="5">
        <v>54</v>
      </c>
      <c r="H130" s="7" t="str">
        <f>IF(COUNTIF($M$2:M130,M130)=1,
SUMIFS($G:$G,$M:$M,M130),
"")</f>
        <v/>
      </c>
      <c r="I130" s="7" t="str">
        <f>IF(E130&lt;&gt;E129,SUMIF(E:E,E130,X:X)," ")</f>
        <v xml:space="preserve"> </v>
      </c>
      <c r="J130" s="8" t="str">
        <f>IF(E130&lt;&gt;E129,SUMIF(E:E,E130,Y:Y)," ")</f>
        <v xml:space="preserve"> </v>
      </c>
      <c r="K130" s="5" t="s">
        <v>35</v>
      </c>
      <c r="L130" s="5" t="s">
        <v>273</v>
      </c>
      <c r="O130" s="9" t="str">
        <f>IF(Q130="","",COUNTIFS($M:$M,M130,$W:$W,"1"))</f>
        <v/>
      </c>
      <c r="P130" s="9" t="s">
        <v>28</v>
      </c>
      <c r="R130" s="5" t="s">
        <v>29</v>
      </c>
      <c r="T130" s="9" t="str">
        <f t="shared" si="9"/>
        <v/>
      </c>
      <c r="V130" s="5" t="s">
        <v>37</v>
      </c>
      <c r="W130" s="9">
        <f>IF(COUNTIFS($M$2:$M130,M130,$E$2:$E130,E130)=1,1,0)</f>
        <v>0</v>
      </c>
      <c r="X130" s="9">
        <v>4.1712000000000007</v>
      </c>
      <c r="Y130" s="10">
        <v>2.3303076923076926E-2</v>
      </c>
      <c r="Z130" s="9" t="str">
        <f>IF(COUNTIF(K$2:K130,K130)=1,SUMIF(K:K,K130,H:H)/SUMIF(K:K,K130,W:W),"")</f>
        <v/>
      </c>
      <c r="AA130" s="9" t="str">
        <f>IF(COUNTIF($M$2:M130,M130)=1, SUMIF(M:M,M130,X:X), "")</f>
        <v/>
      </c>
      <c r="AB130" s="9" t="str">
        <f>IF(COUNTIF($M$2:M130,M130)=1, SUMIF(M:M,M130,Y:Y), "")</f>
        <v/>
      </c>
    </row>
    <row r="131" spans="1:28" x14ac:dyDescent="0.25">
      <c r="A131" s="5">
        <f ca="1">IF(B131="","",COUNTA($B$2:B131))</f>
        <v>130</v>
      </c>
      <c r="B131" s="6">
        <f t="shared" ca="1" si="8"/>
        <v>46191</v>
      </c>
      <c r="C131" s="5" t="s">
        <v>384</v>
      </c>
      <c r="D131" s="5" t="s">
        <v>385</v>
      </c>
      <c r="E131" s="5" t="s">
        <v>380</v>
      </c>
      <c r="F131" s="5" t="s">
        <v>381</v>
      </c>
      <c r="G131" s="5">
        <v>240</v>
      </c>
      <c r="H131" s="7" t="str">
        <f>IF(COUNTIF($M$2:M131,M131)=1,
SUMIFS($G:$G,$M:$M,M131),
"")</f>
        <v/>
      </c>
      <c r="I131" s="7" t="str">
        <f>IF(E131&lt;&gt;E130,SUMIF(E:E,E131,X:X)," ")</f>
        <v xml:space="preserve"> </v>
      </c>
      <c r="J131" s="8" t="str">
        <f>IF(E131&lt;&gt;E130,SUMIF(E:E,E131,Y:Y)," ")</f>
        <v xml:space="preserve"> </v>
      </c>
      <c r="K131" s="5" t="s">
        <v>35</v>
      </c>
      <c r="L131" s="5" t="s">
        <v>273</v>
      </c>
      <c r="O131" s="9" t="str">
        <f>IF(Q131="","",COUNTIFS($M:$M,M131,$W:$W,"1"))</f>
        <v/>
      </c>
      <c r="P131" s="9" t="s">
        <v>28</v>
      </c>
      <c r="R131" s="5" t="s">
        <v>29</v>
      </c>
      <c r="T131" s="9" t="str">
        <f t="shared" si="9"/>
        <v/>
      </c>
      <c r="V131" s="5" t="s">
        <v>37</v>
      </c>
      <c r="W131" s="9">
        <f>IF(COUNTIFS($M$2:$M131,M131,$E$2:$E131,E131)=1,1,0)</f>
        <v>0</v>
      </c>
      <c r="X131" s="9">
        <v>44.86</v>
      </c>
      <c r="Y131" s="10">
        <v>0.14213230000000002</v>
      </c>
      <c r="Z131" s="9" t="str">
        <f>IF(COUNTIF(K$2:K131,K131)=1,SUMIF(K:K,K131,H:H)/SUMIF(K:K,K131,W:W),"")</f>
        <v/>
      </c>
      <c r="AA131" s="9" t="str">
        <f>IF(COUNTIF($M$2:M131,M131)=1, SUMIF(M:M,M131,X:X), "")</f>
        <v/>
      </c>
      <c r="AB131" s="9" t="str">
        <f>IF(COUNTIF($M$2:M131,M131)=1, SUMIF(M:M,M131,Y:Y), "")</f>
        <v/>
      </c>
    </row>
    <row r="132" spans="1:28" x14ac:dyDescent="0.25">
      <c r="A132" s="5">
        <f ca="1">IF(B132="","",COUNTA($B$2:B132))</f>
        <v>131</v>
      </c>
      <c r="B132" s="6">
        <f t="shared" ca="1" si="8"/>
        <v>46191</v>
      </c>
      <c r="C132" s="5" t="s">
        <v>386</v>
      </c>
      <c r="D132" s="5" t="s">
        <v>387</v>
      </c>
      <c r="E132" s="5" t="s">
        <v>388</v>
      </c>
      <c r="F132" s="5" t="s">
        <v>389</v>
      </c>
      <c r="G132" s="5">
        <v>442</v>
      </c>
      <c r="H132" s="7" t="str">
        <f>IF(COUNTIF($M$2:M132,M132)=1,
SUMIFS($G:$G,$M:$M,M132),
"")</f>
        <v/>
      </c>
      <c r="I132" s="7">
        <f>IF(E132&lt;&gt;E131,SUMIF(E:E,E132,X:X)," ")</f>
        <v>158.91484761904761</v>
      </c>
      <c r="J132" s="8">
        <f>IF(E132&lt;&gt;E131,SUMIF(E:E,E132,Y:Y)," ")</f>
        <v>1.3476843145106814</v>
      </c>
      <c r="K132" s="5" t="s">
        <v>35</v>
      </c>
      <c r="L132" s="5" t="s">
        <v>273</v>
      </c>
      <c r="O132" s="9" t="str">
        <f>IF(Q132="","",COUNTIFS($M:$M,M132,$W:$W,"1"))</f>
        <v/>
      </c>
      <c r="P132" s="9" t="s">
        <v>28</v>
      </c>
      <c r="R132" s="5" t="s">
        <v>29</v>
      </c>
      <c r="T132" s="9" t="str">
        <f t="shared" si="9"/>
        <v/>
      </c>
      <c r="V132" s="5" t="s">
        <v>37</v>
      </c>
      <c r="W132" s="9">
        <f>IF(COUNTIFS($M$2:$M132,M132,$E$2:$E132,E132)=1,1,0)</f>
        <v>0</v>
      </c>
      <c r="X132" s="9">
        <v>77.786447619047621</v>
      </c>
      <c r="Y132" s="10">
        <v>0.919935197202989</v>
      </c>
      <c r="Z132" s="9" t="str">
        <f>IF(COUNTIF(K$2:K132,K132)=1,SUMIF(K:K,K132,H:H)/SUMIF(K:K,K132,W:W),"")</f>
        <v/>
      </c>
      <c r="AA132" s="9" t="str">
        <f>IF(COUNTIF($M$2:M132,M132)=1, SUMIF(M:M,M132,X:X), "")</f>
        <v/>
      </c>
      <c r="AB132" s="9" t="str">
        <f>IF(COUNTIF($M$2:M132,M132)=1, SUMIF(M:M,M132,Y:Y), "")</f>
        <v/>
      </c>
    </row>
    <row r="133" spans="1:28" x14ac:dyDescent="0.25">
      <c r="A133" s="5">
        <f ca="1">IF(B133="","",COUNTA($B$2:B133))</f>
        <v>132</v>
      </c>
      <c r="B133" s="6">
        <f t="shared" ca="1" si="8"/>
        <v>46191</v>
      </c>
      <c r="C133" s="5" t="s">
        <v>390</v>
      </c>
      <c r="D133" s="5" t="s">
        <v>391</v>
      </c>
      <c r="E133" s="5" t="s">
        <v>388</v>
      </c>
      <c r="F133" s="5" t="s">
        <v>389</v>
      </c>
      <c r="G133" s="5">
        <v>364</v>
      </c>
      <c r="H133" s="7" t="str">
        <f>IF(COUNTIF($M$2:M133,M133)=1,
SUMIFS($G:$G,$M:$M,M133),
"")</f>
        <v/>
      </c>
      <c r="I133" s="7" t="str">
        <f>IF(E133&lt;&gt;E132,SUMIF(E:E,E133,X:X)," ")</f>
        <v xml:space="preserve"> </v>
      </c>
      <c r="J133" s="8" t="str">
        <f>IF(E133&lt;&gt;E132,SUMIF(E:E,E133,Y:Y)," ")</f>
        <v xml:space="preserve"> </v>
      </c>
      <c r="K133" s="5" t="s">
        <v>35</v>
      </c>
      <c r="L133" s="5" t="s">
        <v>273</v>
      </c>
      <c r="O133" s="9" t="str">
        <f>IF(Q133="","",COUNTIFS($M:$M,M133,$W:$W,"1"))</f>
        <v/>
      </c>
      <c r="P133" s="9" t="s">
        <v>28</v>
      </c>
      <c r="R133" s="5" t="s">
        <v>29</v>
      </c>
      <c r="T133" s="9" t="str">
        <f t="shared" si="9"/>
        <v/>
      </c>
      <c r="V133" s="5" t="s">
        <v>37</v>
      </c>
      <c r="W133" s="9">
        <f>IF(COUNTIFS($M$2:$M133,M133,$E$2:$E133,E133)=1,1,0)</f>
        <v>0</v>
      </c>
      <c r="X133" s="9">
        <v>75.788399999999996</v>
      </c>
      <c r="Y133" s="10">
        <v>0.39508604038461542</v>
      </c>
      <c r="Z133" s="9" t="str">
        <f>IF(COUNTIF(K$2:K133,K133)=1,SUMIF(K:K,K133,H:H)/SUMIF(K:K,K133,W:W),"")</f>
        <v/>
      </c>
      <c r="AA133" s="9" t="str">
        <f>IF(COUNTIF($M$2:M133,M133)=1, SUMIF(M:M,M133,X:X), "")</f>
        <v/>
      </c>
      <c r="AB133" s="9" t="str">
        <f>IF(COUNTIF($M$2:M133,M133)=1, SUMIF(M:M,M133,Y:Y), "")</f>
        <v/>
      </c>
    </row>
    <row r="134" spans="1:28" x14ac:dyDescent="0.25">
      <c r="A134" s="5">
        <f ca="1">IF(B134="","",COUNTA($B$2:B134))</f>
        <v>133</v>
      </c>
      <c r="B134" s="6">
        <f t="shared" ca="1" si="8"/>
        <v>46191</v>
      </c>
      <c r="C134" s="5" t="s">
        <v>392</v>
      </c>
      <c r="D134" s="5" t="s">
        <v>393</v>
      </c>
      <c r="E134" s="5" t="s">
        <v>388</v>
      </c>
      <c r="F134" s="5" t="s">
        <v>389</v>
      </c>
      <c r="G134" s="5">
        <v>60</v>
      </c>
      <c r="H134" s="7" t="str">
        <f>IF(COUNTIF($M$2:M134,M134)=1,
SUMIFS($G:$G,$M:$M,M134),
"")</f>
        <v/>
      </c>
      <c r="I134" s="7" t="str">
        <f>IF(E134&lt;&gt;E133,SUMIF(E:E,E134,X:X)," ")</f>
        <v xml:space="preserve"> </v>
      </c>
      <c r="J134" s="8" t="str">
        <f>IF(E134&lt;&gt;E133,SUMIF(E:E,E134,Y:Y)," ")</f>
        <v xml:space="preserve"> </v>
      </c>
      <c r="K134" s="5" t="s">
        <v>35</v>
      </c>
      <c r="L134" s="5" t="s">
        <v>273</v>
      </c>
      <c r="O134" s="9" t="str">
        <f>IF(Q134="","",COUNTIFS($M:$M,M134,$W:$W,"1"))</f>
        <v/>
      </c>
      <c r="P134" s="9" t="s">
        <v>28</v>
      </c>
      <c r="R134" s="5" t="s">
        <v>29</v>
      </c>
      <c r="T134" s="9" t="str">
        <f t="shared" si="9"/>
        <v/>
      </c>
      <c r="V134" s="5" t="s">
        <v>37</v>
      </c>
      <c r="W134" s="9">
        <f>IF(COUNTIFS($M$2:$M134,M134,$E$2:$E134,E134)=1,1,0)</f>
        <v>0</v>
      </c>
      <c r="X134" s="9">
        <v>5.34</v>
      </c>
      <c r="Y134" s="10">
        <v>3.266307692307692E-2</v>
      </c>
      <c r="Z134" s="9" t="str">
        <f>IF(COUNTIF(K$2:K134,K134)=1,SUMIF(K:K,K134,H:H)/SUMIF(K:K,K134,W:W),"")</f>
        <v/>
      </c>
      <c r="AA134" s="9" t="str">
        <f>IF(COUNTIF($M$2:M134,M134)=1, SUMIF(M:M,M134,X:X), "")</f>
        <v/>
      </c>
      <c r="AB134" s="9" t="str">
        <f>IF(COUNTIF($M$2:M134,M134)=1, SUMIF(M:M,M134,Y:Y), "")</f>
        <v/>
      </c>
    </row>
    <row r="135" spans="1:28" x14ac:dyDescent="0.25">
      <c r="A135" s="5">
        <f ca="1">IF(B135="","",COUNTA($B$2:B135))</f>
        <v>134</v>
      </c>
      <c r="B135" s="6">
        <f t="shared" ca="1" si="8"/>
        <v>46191</v>
      </c>
      <c r="C135" s="5" t="s">
        <v>394</v>
      </c>
      <c r="D135" s="5" t="s">
        <v>395</v>
      </c>
      <c r="E135" s="5" t="s">
        <v>396</v>
      </c>
      <c r="F135" s="5" t="s">
        <v>397</v>
      </c>
      <c r="G135" s="5">
        <v>135</v>
      </c>
      <c r="H135" s="7" t="str">
        <f>IF(COUNTIF($M$2:M135,M135)=1,
SUMIFS($G:$G,$M:$M,M135),
"")</f>
        <v/>
      </c>
      <c r="I135" s="7">
        <f>IF(E135&lt;&gt;E134,SUMIF(E:E,E135,X:X)," ")</f>
        <v>115.03057142857142</v>
      </c>
      <c r="J135" s="8">
        <f>IF(E135&lt;&gt;E134,SUMIF(E:E,E135,Y:Y)," ")</f>
        <v>0.47798103020146526</v>
      </c>
      <c r="K135" s="5" t="s">
        <v>35</v>
      </c>
      <c r="L135" s="5" t="s">
        <v>273</v>
      </c>
      <c r="O135" s="9" t="str">
        <f>IF(Q135="","",COUNTIFS($M:$M,M135,$W:$W,"1"))</f>
        <v/>
      </c>
      <c r="P135" s="9" t="s">
        <v>28</v>
      </c>
      <c r="R135" s="5" t="s">
        <v>29</v>
      </c>
      <c r="T135" s="9" t="str">
        <f t="shared" si="9"/>
        <v/>
      </c>
      <c r="V135" s="5" t="s">
        <v>37</v>
      </c>
      <c r="W135" s="9">
        <f>IF(COUNTIFS($M$2:$M135,M135,$E$2:$E135,E135)=1,1,0)</f>
        <v>0</v>
      </c>
      <c r="X135" s="9">
        <v>58.970571428571432</v>
      </c>
      <c r="Y135" s="10">
        <v>0.31367722058608061</v>
      </c>
      <c r="Z135" s="9" t="str">
        <f>IF(COUNTIF(K$2:K135,K135)=1,SUMIF(K:K,K135,H:H)/SUMIF(K:K,K135,W:W),"")</f>
        <v/>
      </c>
      <c r="AA135" s="9" t="str">
        <f>IF(COUNTIF($M$2:M135,M135)=1, SUMIF(M:M,M135,X:X), "")</f>
        <v/>
      </c>
      <c r="AB135" s="9" t="str">
        <f>IF(COUNTIF($M$2:M135,M135)=1, SUMIF(M:M,M135,Y:Y), "")</f>
        <v/>
      </c>
    </row>
    <row r="136" spans="1:28" x14ac:dyDescent="0.25">
      <c r="A136" s="5">
        <f ca="1">IF(B136="","",COUNTA($B$2:B136))</f>
        <v>135</v>
      </c>
      <c r="B136" s="6">
        <f t="shared" ca="1" si="8"/>
        <v>46191</v>
      </c>
      <c r="C136" s="5" t="s">
        <v>398</v>
      </c>
      <c r="D136" s="5" t="s">
        <v>399</v>
      </c>
      <c r="E136" s="5" t="s">
        <v>396</v>
      </c>
      <c r="F136" s="5" t="s">
        <v>397</v>
      </c>
      <c r="G136" s="5">
        <v>190</v>
      </c>
      <c r="H136" s="7" t="str">
        <f>IF(COUNTIF($M$2:M136,M136)=1,
SUMIFS($G:$G,$M:$M,M136),
"")</f>
        <v/>
      </c>
      <c r="I136" s="7" t="str">
        <f>IF(E136&lt;&gt;E135,SUMIF(E:E,E136,X:X)," ")</f>
        <v xml:space="preserve"> </v>
      </c>
      <c r="J136" s="8" t="str">
        <f>IF(E136&lt;&gt;E135,SUMIF(E:E,E136,Y:Y)," ")</f>
        <v xml:space="preserve"> </v>
      </c>
      <c r="K136" s="5" t="s">
        <v>35</v>
      </c>
      <c r="L136" s="5" t="s">
        <v>273</v>
      </c>
      <c r="O136" s="9" t="str">
        <f>IF(Q136="","",COUNTIFS($M:$M,M136,$W:$W,"1"))</f>
        <v/>
      </c>
      <c r="P136" s="9" t="s">
        <v>28</v>
      </c>
      <c r="R136" s="5" t="s">
        <v>29</v>
      </c>
      <c r="T136" s="9" t="str">
        <f t="shared" si="9"/>
        <v/>
      </c>
      <c r="V136" s="5" t="s">
        <v>37</v>
      </c>
      <c r="W136" s="9">
        <f>IF(COUNTIFS($M$2:$M136,M136,$E$2:$E136,E136)=1,1,0)</f>
        <v>0</v>
      </c>
      <c r="X136" s="9">
        <v>40.96</v>
      </c>
      <c r="Y136" s="10">
        <v>0.12921211730769233</v>
      </c>
      <c r="Z136" s="9" t="str">
        <f>IF(COUNTIF(K$2:K136,K136)=1,SUMIF(K:K,K136,H:H)/SUMIF(K:K,K136,W:W),"")</f>
        <v/>
      </c>
      <c r="AA136" s="9" t="str">
        <f>IF(COUNTIF($M$2:M136,M136)=1, SUMIF(M:M,M136,X:X), "")</f>
        <v/>
      </c>
      <c r="AB136" s="9" t="str">
        <f>IF(COUNTIF($M$2:M136,M136)=1, SUMIF(M:M,M136,Y:Y), "")</f>
        <v/>
      </c>
    </row>
    <row r="137" spans="1:28" x14ac:dyDescent="0.25">
      <c r="A137" s="5">
        <f ca="1">IF(B137="","",COUNTA($B$2:B137))</f>
        <v>136</v>
      </c>
      <c r="B137" s="6">
        <f t="shared" ca="1" si="8"/>
        <v>46191</v>
      </c>
      <c r="C137" s="5" t="s">
        <v>400</v>
      </c>
      <c r="D137" s="5" t="s">
        <v>401</v>
      </c>
      <c r="E137" s="5" t="s">
        <v>396</v>
      </c>
      <c r="F137" s="5" t="s">
        <v>397</v>
      </c>
      <c r="G137" s="5">
        <v>54</v>
      </c>
      <c r="H137" s="7" t="str">
        <f>IF(COUNTIF($M$2:M137,M137)=1,
SUMIFS($G:$G,$M:$M,M137),
"")</f>
        <v/>
      </c>
      <c r="I137" s="7" t="str">
        <f>IF(E137&lt;&gt;E136,SUMIF(E:E,E137,X:X)," ")</f>
        <v xml:space="preserve"> </v>
      </c>
      <c r="J137" s="8" t="str">
        <f>IF(E137&lt;&gt;E136,SUMIF(E:E,E137,Y:Y)," ")</f>
        <v xml:space="preserve"> </v>
      </c>
      <c r="K137" s="5" t="s">
        <v>35</v>
      </c>
      <c r="L137" s="5" t="s">
        <v>273</v>
      </c>
      <c r="O137" s="9" t="str">
        <f>IF(Q137="","",COUNTIFS($M:$M,M137,$W:$W,"1"))</f>
        <v/>
      </c>
      <c r="P137" s="9" t="s">
        <v>28</v>
      </c>
      <c r="R137" s="5" t="s">
        <v>29</v>
      </c>
      <c r="T137" s="9" t="str">
        <f t="shared" si="9"/>
        <v/>
      </c>
      <c r="V137" s="5" t="s">
        <v>37</v>
      </c>
      <c r="W137" s="9">
        <f>IF(COUNTIFS($M$2:$M137,M137,$E$2:$E137,E137)=1,1,0)</f>
        <v>0</v>
      </c>
      <c r="X137" s="9">
        <v>15.1</v>
      </c>
      <c r="Y137" s="10">
        <v>3.5091692307692303E-2</v>
      </c>
      <c r="Z137" s="9" t="str">
        <f>IF(COUNTIF(K$2:K137,K137)=1,SUMIF(K:K,K137,H:H)/SUMIF(K:K,K137,W:W),"")</f>
        <v/>
      </c>
      <c r="AA137" s="9" t="str">
        <f>IF(COUNTIF($M$2:M137,M137)=1, SUMIF(M:M,M137,X:X), "")</f>
        <v/>
      </c>
      <c r="AB137" s="9" t="str">
        <f>IF(COUNTIF($M$2:M137,M137)=1, SUMIF(M:M,M137,Y:Y), "")</f>
        <v/>
      </c>
    </row>
    <row r="138" spans="1:28" x14ac:dyDescent="0.25">
      <c r="A138" s="5">
        <f ca="1">IF(B138="","",COUNTA($B$2:B138))</f>
        <v>137</v>
      </c>
      <c r="B138" s="6">
        <f t="shared" ca="1" si="8"/>
        <v>46191</v>
      </c>
      <c r="C138" s="5" t="s">
        <v>402</v>
      </c>
      <c r="D138" s="5" t="s">
        <v>403</v>
      </c>
      <c r="E138" s="5" t="s">
        <v>404</v>
      </c>
      <c r="F138" s="5" t="s">
        <v>405</v>
      </c>
      <c r="G138" s="5">
        <v>144</v>
      </c>
      <c r="H138" s="7" t="str">
        <f>IF(COUNTIF($M$2:M138,M138)=1,
SUMIFS($G:$G,$M:$M,M138),
"")</f>
        <v/>
      </c>
      <c r="I138" s="7">
        <f>IF(E138&lt;&gt;E137,SUMIF(E:E,E138,X:X)," ")</f>
        <v>156.59488952380954</v>
      </c>
      <c r="J138" s="8">
        <f>IF(E138&lt;&gt;E137,SUMIF(E:E,E138,Y:Y)," ")</f>
        <v>0.56190758070634916</v>
      </c>
      <c r="K138" s="5" t="s">
        <v>35</v>
      </c>
      <c r="L138" s="5" t="s">
        <v>273</v>
      </c>
      <c r="O138" s="9" t="str">
        <f>IF(Q138="","",COUNTIFS($M:$M,M138,$W:$W,"1"))</f>
        <v/>
      </c>
      <c r="P138" s="9" t="s">
        <v>28</v>
      </c>
      <c r="R138" s="5" t="s">
        <v>29</v>
      </c>
      <c r="T138" s="9" t="str">
        <f t="shared" si="9"/>
        <v/>
      </c>
      <c r="V138" s="5" t="s">
        <v>37</v>
      </c>
      <c r="W138" s="9">
        <f>IF(COUNTIFS($M$2:$M138,M138,$E$2:$E138,E138)=1,1,0)</f>
        <v>0</v>
      </c>
      <c r="X138" s="9">
        <v>103.41088952380953</v>
      </c>
      <c r="Y138" s="10">
        <v>0.35219309416788769</v>
      </c>
      <c r="Z138" s="9" t="str">
        <f>IF(COUNTIF(K$2:K138,K138)=1,SUMIF(K:K,K138,H:H)/SUMIF(K:K,K138,W:W),"")</f>
        <v/>
      </c>
      <c r="AA138" s="9" t="str">
        <f>IF(COUNTIF($M$2:M138,M138)=1, SUMIF(M:M,M138,X:X), "")</f>
        <v/>
      </c>
      <c r="AB138" s="9" t="str">
        <f>IF(COUNTIF($M$2:M138,M138)=1, SUMIF(M:M,M138,Y:Y), "")</f>
        <v/>
      </c>
    </row>
    <row r="139" spans="1:28" x14ac:dyDescent="0.25">
      <c r="A139" s="5">
        <f ca="1">IF(B139="","",COUNTA($B$2:B139))</f>
        <v>138</v>
      </c>
      <c r="B139" s="6">
        <f t="shared" ca="1" si="8"/>
        <v>46191</v>
      </c>
      <c r="C139" s="5" t="s">
        <v>406</v>
      </c>
      <c r="D139" s="5" t="s">
        <v>407</v>
      </c>
      <c r="E139" s="5" t="s">
        <v>404</v>
      </c>
      <c r="F139" s="5" t="s">
        <v>405</v>
      </c>
      <c r="G139" s="5">
        <v>262</v>
      </c>
      <c r="H139" s="7" t="str">
        <f>IF(COUNTIF($M$2:M139,M139)=1,
SUMIFS($G:$G,$M:$M,M139),
"")</f>
        <v/>
      </c>
      <c r="I139" s="7" t="str">
        <f>IF(E139&lt;&gt;E138,SUMIF(E:E,E139,X:X)," ")</f>
        <v xml:space="preserve"> </v>
      </c>
      <c r="J139" s="8" t="str">
        <f>IF(E139&lt;&gt;E138,SUMIF(E:E,E139,Y:Y)," ")</f>
        <v xml:space="preserve"> </v>
      </c>
      <c r="K139" s="5" t="s">
        <v>35</v>
      </c>
      <c r="L139" s="5" t="s">
        <v>273</v>
      </c>
      <c r="O139" s="9" t="str">
        <f>IF(Q139="","",COUNTIFS($M:$M,M139,$W:$W,"1"))</f>
        <v/>
      </c>
      <c r="P139" s="9" t="s">
        <v>28</v>
      </c>
      <c r="R139" s="5" t="s">
        <v>29</v>
      </c>
      <c r="T139" s="9" t="str">
        <f t="shared" si="9"/>
        <v/>
      </c>
      <c r="V139" s="5" t="s">
        <v>37</v>
      </c>
      <c r="W139" s="9">
        <f>IF(COUNTIFS($M$2:$M139,M139,$E$2:$E139,E139)=1,1,0)</f>
        <v>0</v>
      </c>
      <c r="X139" s="9">
        <v>47.943999999999996</v>
      </c>
      <c r="Y139" s="10">
        <v>0.17922248653846154</v>
      </c>
      <c r="Z139" s="9" t="str">
        <f>IF(COUNTIF(K$2:K139,K139)=1,SUMIF(K:K,K139,H:H)/SUMIF(K:K,K139,W:W),"")</f>
        <v/>
      </c>
      <c r="AA139" s="9" t="str">
        <f>IF(COUNTIF($M$2:M139,M139)=1, SUMIF(M:M,M139,X:X), "")</f>
        <v/>
      </c>
      <c r="AB139" s="9" t="str">
        <f>IF(COUNTIF($M$2:M139,M139)=1, SUMIF(M:M,M139,Y:Y), "")</f>
        <v/>
      </c>
    </row>
    <row r="140" spans="1:28" x14ac:dyDescent="0.25">
      <c r="A140" s="5">
        <f ca="1">IF(B140="","",COUNTA($B$2:B140))</f>
        <v>139</v>
      </c>
      <c r="B140" s="6">
        <f t="shared" ca="1" si="8"/>
        <v>46191</v>
      </c>
      <c r="C140" s="5" t="s">
        <v>408</v>
      </c>
      <c r="D140" s="5" t="s">
        <v>409</v>
      </c>
      <c r="E140" s="5" t="s">
        <v>404</v>
      </c>
      <c r="F140" s="5" t="s">
        <v>405</v>
      </c>
      <c r="G140" s="5">
        <v>60</v>
      </c>
      <c r="H140" s="7" t="str">
        <f>IF(COUNTIF($M$2:M140,M140)=1,
SUMIFS($G:$G,$M:$M,M140),
"")</f>
        <v/>
      </c>
      <c r="I140" s="7" t="str">
        <f>IF(E140&lt;&gt;E139,SUMIF(E:E,E140,X:X)," ")</f>
        <v xml:space="preserve"> </v>
      </c>
      <c r="J140" s="8" t="str">
        <f>IF(E140&lt;&gt;E139,SUMIF(E:E,E140,Y:Y)," ")</f>
        <v xml:space="preserve"> </v>
      </c>
      <c r="K140" s="5" t="s">
        <v>35</v>
      </c>
      <c r="L140" s="5" t="s">
        <v>273</v>
      </c>
      <c r="O140" s="9" t="str">
        <f>IF(Q140="","",COUNTIFS($M:$M,M140,$W:$W,"1"))</f>
        <v/>
      </c>
      <c r="P140" s="9" t="s">
        <v>28</v>
      </c>
      <c r="R140" s="5" t="s">
        <v>29</v>
      </c>
      <c r="T140" s="9" t="str">
        <f t="shared" si="9"/>
        <v/>
      </c>
      <c r="V140" s="5" t="s">
        <v>37</v>
      </c>
      <c r="W140" s="9">
        <f>IF(COUNTIFS($M$2:$M140,M140,$E$2:$E140,E140)=1,1,0)</f>
        <v>0</v>
      </c>
      <c r="X140" s="9">
        <v>5.24</v>
      </c>
      <c r="Y140" s="10">
        <v>3.0491999999999998E-2</v>
      </c>
      <c r="Z140" s="9" t="str">
        <f>IF(COUNTIF(K$2:K140,K140)=1,SUMIF(K:K,K140,H:H)/SUMIF(K:K,K140,W:W),"")</f>
        <v/>
      </c>
      <c r="AA140" s="9" t="str">
        <f>IF(COUNTIF($M$2:M140,M140)=1, SUMIF(M:M,M140,X:X), "")</f>
        <v/>
      </c>
      <c r="AB140" s="9" t="str">
        <f>IF(COUNTIF($M$2:M140,M140)=1, SUMIF(M:M,M140,Y:Y), "")</f>
        <v/>
      </c>
    </row>
  </sheetData>
  <dataConsolidate/>
  <conditionalFormatting sqref="D1">
    <cfRule type="duplicateValues" dxfId="0" priority="1"/>
  </conditionalFormatting>
  <dataValidations count="2">
    <dataValidation showInputMessage="1" showErrorMessage="1" sqref="R1 J2:J140" xr:uid="{2598BC76-FC2D-43F1-B1E5-58008017B842}"/>
    <dataValidation type="list" allowBlank="1" showInputMessage="1" showErrorMessage="1" sqref="V1" xr:uid="{5EBE06AC-06FB-4975-A6B3-108302DF487C}">
      <formula1>"SGW,LOG"</formula1>
    </dataValidation>
  </dataValidation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Duy Hoàng (TSC-CCƯ-MB)</dc:creator>
  <cp:lastModifiedBy>Dương Duy Hoàng (TSC-CCƯ-MB)</cp:lastModifiedBy>
  <dcterms:created xsi:type="dcterms:W3CDTF">2026-06-17T10:43:33Z</dcterms:created>
  <dcterms:modified xsi:type="dcterms:W3CDTF">2026-06-17T10:44:29Z</dcterms:modified>
</cp:coreProperties>
</file>